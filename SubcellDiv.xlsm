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hil3/Documents/calcs/SQ_multijunc/"/>
    </mc:Choice>
  </mc:AlternateContent>
  <xr:revisionPtr revIDLastSave="0" documentId="13_ncr:1_{4D1ACAED-1546-6248-9AC9-F193E9FD3576}" xr6:coauthVersionLast="47" xr6:coauthVersionMax="47" xr10:uidLastSave="{00000000-0000-0000-0000-000000000000}"/>
  <bookViews>
    <workbookView xWindow="780" yWindow="1400" windowWidth="26420" windowHeight="14740" activeTab="1" xr2:uid="{F39901F2-9B9C-3F40-87C6-17C8C951FC81}"/>
  </bookViews>
  <sheets>
    <sheet name="tandem" sheetId="1" r:id="rId1"/>
    <sheet name="calc" sheetId="3" r:id="rId2"/>
  </sheets>
  <definedNames>
    <definedName name="I0_1_mA">tandem!$C$7</definedName>
    <definedName name="I0_2_mA">tandem!$C$14</definedName>
    <definedName name="I1m_mA">tandem!$F$7</definedName>
    <definedName name="I2m_mA">tandem!$F$14</definedName>
    <definedName name="Ierror">tandem!$E$30</definedName>
    <definedName name="Im_mA">tandem!$C$21</definedName>
    <definedName name="Ip_1_mA">tandem!$C$8</definedName>
    <definedName name="Ip_2_mA">tandem!$C$15</definedName>
    <definedName name="Ip_mA">tandem!$C$2</definedName>
    <definedName name="Isc_mA">tandem!$C$25</definedName>
    <definedName name="n_1">tandem!$C$6</definedName>
    <definedName name="n_2">tandem!$C$13</definedName>
    <definedName name="P1m_mW">tandem!$F$8</definedName>
    <definedName name="P2m_mW">tandem!$F$15</definedName>
    <definedName name="Pm_mW">tandem!$C$22</definedName>
    <definedName name="solver_adj" localSheetId="0" hidden="1">tandem!$F$14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tandem!$C$21</definedName>
    <definedName name="solver_lhs2" localSheetId="0" hidden="1">tandem!$C$21</definedName>
    <definedName name="solver_lin" localSheetId="0" hidden="1">2</definedName>
    <definedName name="solver_mip" localSheetId="0" hidden="1">2147483647</definedName>
    <definedName name="solver_mni" localSheetId="0" hidden="1">2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opt" localSheetId="0" hidden="1">tandem!$F$15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1</definedName>
    <definedName name="solver_rhs1" localSheetId="0" hidden="1">tandem!#REF!</definedName>
    <definedName name="solver_rhs2" localSheetId="0" hidden="1">tandem!#REF!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2</definedName>
    <definedName name="SolveState">tandem!$D$33</definedName>
    <definedName name="u">tandem!$E$29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3" l="1"/>
  <c r="H4" i="3"/>
  <c r="G5" i="3"/>
  <c r="H5" i="3"/>
  <c r="G6" i="3"/>
  <c r="H6" i="3"/>
  <c r="G7" i="3"/>
  <c r="H7" i="3"/>
  <c r="G8" i="3"/>
  <c r="H8" i="3"/>
  <c r="G9" i="3"/>
  <c r="H9" i="3"/>
  <c r="G10" i="3"/>
  <c r="H10" i="3"/>
  <c r="G11" i="3"/>
  <c r="H11" i="3"/>
  <c r="G12" i="3"/>
  <c r="H12" i="3"/>
  <c r="G13" i="3"/>
  <c r="H13" i="3"/>
  <c r="G14" i="3"/>
  <c r="H14" i="3"/>
  <c r="G15" i="3"/>
  <c r="H15" i="3"/>
  <c r="G16" i="3"/>
  <c r="H16" i="3"/>
  <c r="G17" i="3"/>
  <c r="H17" i="3"/>
  <c r="G18" i="3"/>
  <c r="H18" i="3"/>
  <c r="G19" i="3"/>
  <c r="H19" i="3"/>
  <c r="G20" i="3"/>
  <c r="H20" i="3"/>
  <c r="G21" i="3"/>
  <c r="H21" i="3"/>
  <c r="G22" i="3"/>
  <c r="H22" i="3"/>
  <c r="G23" i="3"/>
  <c r="H23" i="3"/>
  <c r="G24" i="3"/>
  <c r="H24" i="3"/>
  <c r="G25" i="3"/>
  <c r="H25" i="3"/>
  <c r="G26" i="3"/>
  <c r="H26" i="3"/>
  <c r="G27" i="3"/>
  <c r="H27" i="3"/>
  <c r="G28" i="3"/>
  <c r="H28" i="3"/>
  <c r="G29" i="3"/>
  <c r="H29" i="3"/>
  <c r="G30" i="3"/>
  <c r="H30" i="3"/>
  <c r="G31" i="3"/>
  <c r="H31" i="3"/>
  <c r="G32" i="3"/>
  <c r="H32" i="3"/>
  <c r="G33" i="3"/>
  <c r="H33" i="3"/>
  <c r="G34" i="3"/>
  <c r="H34" i="3"/>
  <c r="G35" i="3"/>
  <c r="H35" i="3"/>
  <c r="G36" i="3"/>
  <c r="H36" i="3"/>
  <c r="G37" i="3"/>
  <c r="H37" i="3"/>
  <c r="G38" i="3"/>
  <c r="H38" i="3"/>
  <c r="G39" i="3"/>
  <c r="H39" i="3"/>
  <c r="G40" i="3"/>
  <c r="H40" i="3"/>
  <c r="G41" i="3"/>
  <c r="H41" i="3"/>
  <c r="G42" i="3"/>
  <c r="H42" i="3"/>
  <c r="G43" i="3"/>
  <c r="H43" i="3"/>
  <c r="G44" i="3"/>
  <c r="H44" i="3"/>
  <c r="G45" i="3"/>
  <c r="H45" i="3"/>
  <c r="G46" i="3"/>
  <c r="H46" i="3"/>
  <c r="G47" i="3"/>
  <c r="H47" i="3"/>
  <c r="G48" i="3"/>
  <c r="H48" i="3"/>
  <c r="G49" i="3"/>
  <c r="H49" i="3"/>
  <c r="G50" i="3"/>
  <c r="H50" i="3"/>
  <c r="G51" i="3"/>
  <c r="H51" i="3"/>
  <c r="G52" i="3"/>
  <c r="H52" i="3"/>
  <c r="G53" i="3"/>
  <c r="H53" i="3"/>
  <c r="H3" i="3"/>
  <c r="G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3" i="3"/>
  <c r="M28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4" i="3"/>
  <c r="C3" i="3"/>
  <c r="M2" i="3"/>
  <c r="M4" i="3" s="1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M3" i="3" l="1"/>
  <c r="L16" i="3" s="1"/>
  <c r="L13" i="3"/>
  <c r="M13" i="3" s="1"/>
  <c r="L15" i="3"/>
  <c r="M15" i="3" s="1"/>
  <c r="M16" i="3" l="1"/>
  <c r="M9" i="3" s="1"/>
  <c r="L14" i="3"/>
  <c r="L9" i="3"/>
  <c r="M8" i="3"/>
  <c r="L8" i="3"/>
  <c r="L6" i="3"/>
  <c r="M6" i="3" s="1"/>
  <c r="L7" i="3" l="1"/>
  <c r="M14" i="3"/>
  <c r="M7" i="3" s="1"/>
  <c r="M10" i="3" s="1"/>
  <c r="M17" i="3" l="1"/>
  <c r="M18" i="3" s="1"/>
  <c r="M11" i="3" s="1"/>
  <c r="C4" i="1" l="1"/>
  <c r="C15" i="1" s="1"/>
  <c r="M22" i="3" s="1"/>
  <c r="C8" i="1" l="1"/>
  <c r="M21" i="3" s="1"/>
  <c r="E30" i="1" s="1"/>
  <c r="F17" i="1"/>
  <c r="F16" i="1"/>
  <c r="C16" i="1"/>
  <c r="C17" i="1" s="1"/>
  <c r="F13" i="1"/>
  <c r="F15" i="1" s="1"/>
  <c r="C24" i="1" l="1"/>
  <c r="F6" i="1"/>
  <c r="F8" i="1" s="1"/>
  <c r="F9" i="1"/>
  <c r="I51" i="3" s="1"/>
  <c r="C9" i="1"/>
  <c r="C10" i="1" s="1"/>
  <c r="F10" i="1"/>
  <c r="C25" i="1"/>
  <c r="J43" i="3"/>
  <c r="J27" i="3"/>
  <c r="J50" i="3"/>
  <c r="J34" i="3"/>
  <c r="J18" i="3"/>
  <c r="J45" i="3"/>
  <c r="J29" i="3"/>
  <c r="J13" i="3"/>
  <c r="J40" i="3"/>
  <c r="J24" i="3"/>
  <c r="J8" i="3"/>
  <c r="J11" i="3"/>
  <c r="J6" i="3"/>
  <c r="J23" i="3"/>
  <c r="J14" i="3"/>
  <c r="J25" i="3"/>
  <c r="J20" i="3"/>
  <c r="J51" i="3"/>
  <c r="J35" i="3"/>
  <c r="J19" i="3"/>
  <c r="J42" i="3"/>
  <c r="J26" i="3"/>
  <c r="J53" i="3"/>
  <c r="J37" i="3"/>
  <c r="J21" i="3"/>
  <c r="J48" i="3"/>
  <c r="J32" i="3"/>
  <c r="J16" i="3"/>
  <c r="J7" i="3"/>
  <c r="J9" i="3"/>
  <c r="J46" i="3"/>
  <c r="J52" i="3"/>
  <c r="J4" i="3"/>
  <c r="J47" i="3"/>
  <c r="J31" i="3"/>
  <c r="J15" i="3"/>
  <c r="J38" i="3"/>
  <c r="J22" i="3"/>
  <c r="J49" i="3"/>
  <c r="J33" i="3"/>
  <c r="J17" i="3"/>
  <c r="J44" i="3"/>
  <c r="J28" i="3"/>
  <c r="J12" i="3"/>
  <c r="J3" i="3"/>
  <c r="J5" i="3"/>
  <c r="J39" i="3"/>
  <c r="J30" i="3"/>
  <c r="J41" i="3"/>
  <c r="J36" i="3"/>
  <c r="J10" i="3"/>
  <c r="I28" i="3" l="1"/>
  <c r="I6" i="3"/>
  <c r="I33" i="3"/>
  <c r="I11" i="3"/>
  <c r="I50" i="3"/>
  <c r="C20" i="1"/>
  <c r="C22" i="1" s="1"/>
  <c r="I38" i="3"/>
  <c r="I27" i="3"/>
  <c r="I46" i="3"/>
  <c r="I42" i="3"/>
  <c r="I52" i="3"/>
  <c r="I20" i="3"/>
  <c r="I7" i="3"/>
  <c r="I29" i="3"/>
  <c r="I32" i="3"/>
  <c r="I21" i="3"/>
  <c r="I24" i="3"/>
  <c r="I30" i="3"/>
  <c r="I23" i="3"/>
  <c r="I15" i="3"/>
  <c r="I44" i="3"/>
  <c r="I9" i="3"/>
  <c r="I45" i="3"/>
  <c r="I48" i="3"/>
  <c r="I37" i="3"/>
  <c r="I40" i="3"/>
  <c r="I19" i="3"/>
  <c r="I43" i="3"/>
  <c r="I25" i="3"/>
  <c r="I12" i="3"/>
  <c r="I18" i="3"/>
  <c r="I39" i="3"/>
  <c r="I17" i="3"/>
  <c r="I4" i="3"/>
  <c r="I53" i="3"/>
  <c r="I31" i="3"/>
  <c r="I10" i="3"/>
  <c r="I8" i="3"/>
  <c r="I35" i="3"/>
  <c r="I3" i="3"/>
  <c r="I36" i="3"/>
  <c r="I14" i="3"/>
  <c r="I13" i="3"/>
  <c r="I34" i="3"/>
  <c r="I16" i="3"/>
  <c r="I22" i="3"/>
  <c r="I5" i="3"/>
  <c r="I26" i="3"/>
  <c r="I47" i="3"/>
  <c r="I49" i="3"/>
  <c r="I41" i="3"/>
  <c r="F5" i="3" l="1"/>
  <c r="F30" i="3"/>
  <c r="F22" i="3"/>
  <c r="F32" i="3"/>
  <c r="F40" i="3"/>
  <c r="F13" i="3"/>
  <c r="F19" i="3"/>
  <c r="F41" i="3"/>
  <c r="F18" i="3"/>
  <c r="F35" i="3"/>
  <c r="F14" i="3"/>
  <c r="F31" i="3"/>
  <c r="F15" i="3"/>
  <c r="F8" i="3"/>
  <c r="F24" i="3"/>
  <c r="F42" i="3"/>
  <c r="F10" i="3"/>
  <c r="F53" i="3"/>
  <c r="F48" i="3"/>
  <c r="F36" i="3"/>
  <c r="F45" i="3"/>
  <c r="F20" i="3"/>
  <c r="F28" i="3"/>
  <c r="F6" i="3"/>
  <c r="F17" i="3"/>
  <c r="F12" i="3"/>
  <c r="F38" i="3"/>
  <c r="F25" i="3"/>
  <c r="F16" i="3"/>
  <c r="F27" i="3"/>
  <c r="F26" i="3"/>
  <c r="F33" i="3"/>
  <c r="F23" i="3"/>
  <c r="F7" i="3"/>
  <c r="F51" i="3"/>
  <c r="F46" i="3"/>
  <c r="F37" i="3"/>
  <c r="F34" i="3"/>
  <c r="F52" i="3"/>
  <c r="F50" i="3"/>
  <c r="F47" i="3"/>
  <c r="F4" i="3"/>
  <c r="F9" i="3"/>
  <c r="F11" i="3"/>
  <c r="F21" i="3"/>
  <c r="F43" i="3"/>
  <c r="F49" i="3"/>
  <c r="F29" i="3"/>
  <c r="F39" i="3"/>
  <c r="F44" i="3"/>
</calcChain>
</file>

<file path=xl/sharedStrings.xml><?xml version="1.0" encoding="utf-8"?>
<sst xmlns="http://schemas.openxmlformats.org/spreadsheetml/2006/main" count="64" uniqueCount="54">
  <si>
    <t>Ip (mA)</t>
  </si>
  <si>
    <t>kT (eV)</t>
  </si>
  <si>
    <t>Ip_1 (mA)</t>
  </si>
  <si>
    <t>Ip_2 (mA)</t>
  </si>
  <si>
    <t>V1 (V)</t>
  </si>
  <si>
    <t>V2(V)</t>
  </si>
  <si>
    <t>I0_1 (mA)</t>
  </si>
  <si>
    <t>I0_2 (mA)</t>
  </si>
  <si>
    <t>I (mA)</t>
  </si>
  <si>
    <t>n_1</t>
  </si>
  <si>
    <t>n_2</t>
  </si>
  <si>
    <t>n_1+n_2</t>
  </si>
  <si>
    <t>f</t>
  </si>
  <si>
    <t>1-f</t>
  </si>
  <si>
    <t>I_p1</t>
  </si>
  <si>
    <t>I_p2</t>
  </si>
  <si>
    <t>P1 (W)</t>
  </si>
  <si>
    <t>P2 (W)</t>
  </si>
  <si>
    <t>V (V)</t>
  </si>
  <si>
    <t>V2 (V)</t>
  </si>
  <si>
    <t>Isc (mA)</t>
  </si>
  <si>
    <t>u</t>
  </si>
  <si>
    <t>m1</t>
  </si>
  <si>
    <t>m2</t>
  </si>
  <si>
    <t>Voc (V)</t>
  </si>
  <si>
    <t>I_1</t>
  </si>
  <si>
    <t>I_2</t>
  </si>
  <si>
    <t>Ierror</t>
  </si>
  <si>
    <t>max. power point</t>
  </si>
  <si>
    <t>V1_sc</t>
  </si>
  <si>
    <t>solve for Isc:</t>
  </si>
  <si>
    <t>Vm (V)</t>
  </si>
  <si>
    <t>Im (mA)</t>
  </si>
  <si>
    <t>cell 1:</t>
  </si>
  <si>
    <t>V1m (V)</t>
  </si>
  <si>
    <t>I1m (mA)</t>
  </si>
  <si>
    <t>P1m (mW)</t>
  </si>
  <si>
    <t>Pm (mW)</t>
  </si>
  <si>
    <t>V2m (V)</t>
  </si>
  <si>
    <t>cell 2:</t>
  </si>
  <si>
    <t>I2m (mA)</t>
  </si>
  <si>
    <t>P2m (mW)</t>
  </si>
  <si>
    <t>I1 (mA)</t>
  </si>
  <si>
    <t>V1oc (V)</t>
  </si>
  <si>
    <t>I1sc (mA)</t>
  </si>
  <si>
    <t>V2oc (V)</t>
  </si>
  <si>
    <t>I2sc (mA)</t>
  </si>
  <si>
    <t>I2 (mA)</t>
  </si>
  <si>
    <t>V1c (V)</t>
  </si>
  <si>
    <t>V2c V)</t>
  </si>
  <si>
    <t>solve state:</t>
  </si>
  <si>
    <t>I_sc (mA)</t>
  </si>
  <si>
    <t>I_p1 (mA)</t>
  </si>
  <si>
    <t>I_p2 (mA)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</si>
</sst>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"/>
    <numFmt numFmtId="166" formatCode="0.00000"/>
    <numFmt numFmtId="167" formatCode="0.000000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i/>
      <sz val="14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11" fontId="0" fillId="0" borderId="0" xfId="0" applyNumberFormat="1"/>
    <xf numFmtId="164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1" xfId="0" applyBorder="1"/>
    <xf numFmtId="11" fontId="0" fillId="0" borderId="1" xfId="0" applyNumberFormat="1" applyBorder="1"/>
    <xf numFmtId="2" fontId="0" fillId="0" borderId="0" xfId="0" applyNumberFormat="1"/>
    <xf numFmtId="0" fontId="3" fillId="0" borderId="0" xfId="0" applyFont="1"/>
    <xf numFmtId="165" fontId="0" fillId="0" borderId="0" xfId="0" applyNumberFormat="1"/>
    <xf numFmtId="165" fontId="1" fillId="0" borderId="0" xfId="0" applyNumberFormat="1" applyFont="1"/>
    <xf numFmtId="0" fontId="0" fillId="2" borderId="0" xfId="0" applyFill="1"/>
    <xf numFmtId="0" fontId="0" fillId="3" borderId="0" xfId="0" applyFill="1"/>
    <xf numFmtId="0" fontId="0" fillId="4" borderId="0" xfId="0" applyFill="1"/>
    <xf numFmtId="11" fontId="0" fillId="5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tandem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calc!$F$3:$F$53</c:f>
              <c:numCache>
                <c:formatCode>0.0000</c:formatCode>
                <c:ptCount val="51"/>
                <c:pt idx="0">
                  <c:v>0</c:v>
                </c:pt>
                <c:pt idx="1">
                  <c:v>1.211146116647154</c:v>
                </c:pt>
                <c:pt idx="2">
                  <c:v>1.2116053100259792</c:v>
                </c:pt>
                <c:pt idx="3">
                  <c:v>1.2120691790134597</c:v>
                </c:pt>
                <c:pt idx="4">
                  <c:v>1.2125377315350618</c:v>
                </c:pt>
                <c:pt idx="5">
                  <c:v>1.2130109748382185</c:v>
                </c:pt>
                <c:pt idx="6">
                  <c:v>1.2134889154891702</c:v>
                </c:pt>
                <c:pt idx="7">
                  <c:v>1.2139715593701004</c:v>
                </c:pt>
                <c:pt idx="8">
                  <c:v>1.2144589116765769</c:v>
                </c:pt>
                <c:pt idx="9">
                  <c:v>1.2149509769152904</c:v>
                </c:pt>
                <c:pt idx="10">
                  <c:v>1.2154477589020942</c:v>
                </c:pt>
                <c:pt idx="11">
                  <c:v>1.215949260760347</c:v>
                </c:pt>
                <c:pt idx="12">
                  <c:v>1.216455484919555</c:v>
                </c:pt>
                <c:pt idx="13">
                  <c:v>1.2169664331143177</c:v>
                </c:pt>
                <c:pt idx="14">
                  <c:v>1.2174821063835748</c:v>
                </c:pt>
                <c:pt idx="15">
                  <c:v>1.2180025050701548</c:v>
                </c:pt>
                <c:pt idx="16">
                  <c:v>1.2185276288206273</c:v>
                </c:pt>
                <c:pt idx="17">
                  <c:v>1.2190574765854552</c:v>
                </c:pt>
                <c:pt idx="18">
                  <c:v>1.2195920466194505</c:v>
                </c:pt>
                <c:pt idx="19">
                  <c:v>1.2201313364825328</c:v>
                </c:pt>
                <c:pt idx="20">
                  <c:v>1.220675343040788</c:v>
                </c:pt>
                <c:pt idx="21">
                  <c:v>1.2212240624678292</c:v>
                </c:pt>
                <c:pt idx="22">
                  <c:v>1.2217774902464604</c:v>
                </c:pt>
                <c:pt idx="23">
                  <c:v>1.2223356211706409</c:v>
                </c:pt>
                <c:pt idx="24">
                  <c:v>1.2228984493477502</c:v>
                </c:pt>
                <c:pt idx="25">
                  <c:v>1.2234659682011531</c:v>
                </c:pt>
                <c:pt idx="26">
                  <c:v>1.2240381704730674</c:v>
                </c:pt>
                <c:pt idx="27">
                  <c:v>1.2246150482277274</c:v>
                </c:pt>
                <c:pt idx="28">
                  <c:v>1.2251965928548501</c:v>
                </c:pt>
                <c:pt idx="29">
                  <c:v>1.2257827950733959</c:v>
                </c:pt>
                <c:pt idx="30">
                  <c:v>1.2263736449356304</c:v>
                </c:pt>
                <c:pt idx="31">
                  <c:v>1.2269691318314784</c:v>
                </c:pt>
                <c:pt idx="32">
                  <c:v>1.2275692444931754</c:v>
                </c:pt>
                <c:pt idx="33">
                  <c:v>1.2281739710002135</c:v>
                </c:pt>
                <c:pt idx="34">
                  <c:v>1.2287832987845762</c:v>
                </c:pt>
                <c:pt idx="35">
                  <c:v>1.2293972146362671</c:v>
                </c:pt>
                <c:pt idx="36">
                  <c:v>1.2300157047091269</c:v>
                </c:pt>
                <c:pt idx="37">
                  <c:v>1.2306387545269346</c:v>
                </c:pt>
                <c:pt idx="38">
                  <c:v>1.2312663489897957</c:v>
                </c:pt>
                <c:pt idx="39">
                  <c:v>1.2318984723808111</c:v>
                </c:pt>
                <c:pt idx="40">
                  <c:v>1.2325351083730256</c:v>
                </c:pt>
                <c:pt idx="41">
                  <c:v>1.2331762400366513</c:v>
                </c:pt>
                <c:pt idx="42">
                  <c:v>1.233821849846567</c:v>
                </c:pt>
                <c:pt idx="43">
                  <c:v>1.2344719196900815</c:v>
                </c:pt>
                <c:pt idx="44">
                  <c:v>1.2351264308749694</c:v>
                </c:pt>
                <c:pt idx="45">
                  <c:v>1.2357853641377616</c:v>
                </c:pt>
                <c:pt idx="46">
                  <c:v>1.2364486996522972</c:v>
                </c:pt>
                <c:pt idx="47">
                  <c:v>1.2371164170385258</c:v>
                </c:pt>
                <c:pt idx="48">
                  <c:v>1.2377884953715581</c:v>
                </c:pt>
                <c:pt idx="49">
                  <c:v>1.2384649131909575</c:v>
                </c:pt>
                <c:pt idx="50">
                  <c:v>1.2391456485102685</c:v>
                </c:pt>
              </c:numCache>
            </c:numRef>
          </c:xVal>
          <c:yVal>
            <c:numRef>
              <c:f>calc!$C$3:$C$53</c:f>
              <c:numCache>
                <c:formatCode>0.0000</c:formatCode>
                <c:ptCount val="51"/>
                <c:pt idx="0">
                  <c:v>1</c:v>
                </c:pt>
                <c:pt idx="1">
                  <c:v>0.98824329065688121</c:v>
                </c:pt>
                <c:pt idx="2">
                  <c:v>0.97624908003072619</c:v>
                </c:pt>
                <c:pt idx="3">
                  <c:v>0.96401257027735976</c:v>
                </c:pt>
                <c:pt idx="4">
                  <c:v>0.9515288666297248</c:v>
                </c:pt>
                <c:pt idx="5">
                  <c:v>0.9387929754399108</c:v>
                </c:pt>
                <c:pt idx="6">
                  <c:v>0.92579980218162761</c:v>
                </c:pt>
                <c:pt idx="7">
                  <c:v>0.91254414941232731</c:v>
                </c:pt>
                <c:pt idx="8">
                  <c:v>0.89902071469415767</c:v>
                </c:pt>
                <c:pt idx="9">
                  <c:v>0.88522408847291678</c:v>
                </c:pt>
                <c:pt idx="10">
                  <c:v>0.87114875191415841</c:v>
                </c:pt>
                <c:pt idx="11">
                  <c:v>0.85678907469558574</c:v>
                </c:pt>
                <c:pt idx="12">
                  <c:v>0.84213931275484599</c:v>
                </c:pt>
                <c:pt idx="13">
                  <c:v>0.82719360599183045</c:v>
                </c:pt>
                <c:pt idx="14">
                  <c:v>0.81194597592455509</c:v>
                </c:pt>
                <c:pt idx="15">
                  <c:v>0.79639032329768833</c:v>
                </c:pt>
                <c:pt idx="16">
                  <c:v>0.78052042564276825</c:v>
                </c:pt>
                <c:pt idx="17">
                  <c:v>0.76432993478913136</c:v>
                </c:pt>
                <c:pt idx="18">
                  <c:v>0.74781237432456016</c:v>
                </c:pt>
                <c:pt idx="19">
                  <c:v>0.73096113700463139</c:v>
                </c:pt>
                <c:pt idx="20">
                  <c:v>0.71376948210973135</c:v>
                </c:pt>
                <c:pt idx="21">
                  <c:v>0.69623053274867686</c:v>
                </c:pt>
                <c:pt idx="22">
                  <c:v>0.6783372731078674</c:v>
                </c:pt>
                <c:pt idx="23">
                  <c:v>0.66008254564486712</c:v>
                </c:pt>
                <c:pt idx="24">
                  <c:v>0.64145904822529087</c:v>
                </c:pt>
                <c:pt idx="25">
                  <c:v>0.62245933120185448</c:v>
                </c:pt>
                <c:pt idx="26">
                  <c:v>0.6030757944344155</c:v>
                </c:pt>
                <c:pt idx="27">
                  <c:v>0.58330068424981629</c:v>
                </c:pt>
                <c:pt idx="28">
                  <c:v>0.56312609034031147</c:v>
                </c:pt>
                <c:pt idx="29">
                  <c:v>0.54254394259933914</c:v>
                </c:pt>
                <c:pt idx="30">
                  <c:v>0.52154600789337047</c:v>
                </c:pt>
                <c:pt idx="31">
                  <c:v>0.5001238867685468</c:v>
                </c:pt>
                <c:pt idx="32">
                  <c:v>0.47826901009078626</c:v>
                </c:pt>
                <c:pt idx="33">
                  <c:v>0.45597263561801538</c:v>
                </c:pt>
                <c:pt idx="34">
                  <c:v>0.43322584450315627</c:v>
                </c:pt>
                <c:pt idx="35">
                  <c:v>0.41001953772646837</c:v>
                </c:pt>
                <c:pt idx="36">
                  <c:v>0.3863444324558194</c:v>
                </c:pt>
                <c:pt idx="37">
                  <c:v>0.36219105833342879</c:v>
                </c:pt>
                <c:pt idx="38">
                  <c:v>0.33754975368759832</c:v>
                </c:pt>
                <c:pt idx="39">
                  <c:v>0.31241066166791442</c:v>
                </c:pt>
                <c:pt idx="40">
                  <c:v>0.28676372630237679</c:v>
                </c:pt>
                <c:pt idx="41">
                  <c:v>0.26059868847487599</c:v>
                </c:pt>
                <c:pt idx="42">
                  <c:v>0.23390508182140923</c:v>
                </c:pt>
                <c:pt idx="43">
                  <c:v>0.20667222854339495</c:v>
                </c:pt>
                <c:pt idx="44">
                  <c:v>0.17888923513641275</c:v>
                </c:pt>
                <c:pt idx="45">
                  <c:v>0.15054498803265481</c:v>
                </c:pt>
                <c:pt idx="46">
                  <c:v>0.12162814915535169</c:v>
                </c:pt>
                <c:pt idx="47">
                  <c:v>9.2127151383389227E-2</c:v>
                </c:pt>
                <c:pt idx="48">
                  <c:v>6.2030193924306976E-2</c:v>
                </c:pt>
                <c:pt idx="49">
                  <c:v>3.1325237593822997E-2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A-5746-AEAC-2496E8DF0B14}"/>
            </c:ext>
          </c:extLst>
        </c:ser>
        <c:ser>
          <c:idx val="2"/>
          <c:order val="1"/>
          <c:tx>
            <c:v>cell1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calc!$G$3:$G$53</c:f>
              <c:numCache>
                <c:formatCode>0.0000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0.70000000000000007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0.82000000000000006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0.94000000000000006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xVal>
          <c:yVal>
            <c:numRef>
              <c:f>calc!$I$3:$I$53</c:f>
              <c:numCache>
                <c:formatCode>0.0000</c:formatCode>
                <c:ptCount val="51"/>
                <c:pt idx="0">
                  <c:v>0.99999999500050007</c:v>
                </c:pt>
                <c:pt idx="1">
                  <c:v>0.99999998335525364</c:v>
                </c:pt>
                <c:pt idx="2">
                  <c:v>0.9999999581488308</c:v>
                </c:pt>
                <c:pt idx="3">
                  <c:v>0.99999990358890756</c:v>
                </c:pt>
                <c:pt idx="4">
                  <c:v>0.99999978549260904</c:v>
                </c:pt>
                <c:pt idx="5">
                  <c:v>0.99999952987026097</c:v>
                </c:pt>
                <c:pt idx="6">
                  <c:v>0.99999897656938963</c:v>
                </c:pt>
                <c:pt idx="7">
                  <c:v>0.9999977789360196</c:v>
                </c:pt>
                <c:pt idx="8">
                  <c:v>0.99999518662907849</c:v>
                </c:pt>
                <c:pt idx="9">
                  <c:v>0.99998957551682643</c:v>
                </c:pt>
                <c:pt idx="10">
                  <c:v>0.99997743012609086</c:v>
                </c:pt>
                <c:pt idx="11">
                  <c:v>0.99995114112856343</c:v>
                </c:pt>
                <c:pt idx="12">
                  <c:v>0.99989423794561616</c:v>
                </c:pt>
                <c:pt idx="13">
                  <c:v>0.99977106960394913</c:v>
                </c:pt>
                <c:pt idx="14">
                  <c:v>0.9995044686933634</c:v>
                </c:pt>
                <c:pt idx="15">
                  <c:v>0.9989274044529648</c:v>
                </c:pt>
                <c:pt idx="16">
                  <c:v>0.99767833468491707</c:v>
                </c:pt>
                <c:pt idx="17">
                  <c:v>0.99497469239307557</c:v>
                </c:pt>
                <c:pt idx="18">
                  <c:v>0.98912259203069253</c:v>
                </c:pt>
                <c:pt idx="19">
                  <c:v>0.97645557659202031</c:v>
                </c:pt>
                <c:pt idx="20">
                  <c:v>0.94903750954126653</c:v>
                </c:pt>
                <c:pt idx="21">
                  <c:v>0.88969042778872098</c:v>
                </c:pt>
                <c:pt idx="22">
                  <c:v>0.7612322069366243</c:v>
                </c:pt>
                <c:pt idx="23">
                  <c:v>0.4831812225042138</c:v>
                </c:pt>
                <c:pt idx="24">
                  <c:v>-0.11866698488180782</c:v>
                </c:pt>
                <c:pt idx="25">
                  <c:v>-1.421382260187086</c:v>
                </c:pt>
                <c:pt idx="26">
                  <c:v>-4.241141574391083</c:v>
                </c:pt>
                <c:pt idx="27">
                  <c:v>-10.344580092970567</c:v>
                </c:pt>
                <c:pt idx="28">
                  <c:v>-23.555623164068962</c:v>
                </c:pt>
                <c:pt idx="29">
                  <c:v>-52.151251430844106</c:v>
                </c:pt>
                <c:pt idx="30">
                  <c:v>-114.04719345229505</c:v>
                </c:pt>
                <c:pt idx="31">
                  <c:v>-248.0224851640744</c:v>
                </c:pt>
                <c:pt idx="32">
                  <c:v>-538.01530542094622</c:v>
                </c:pt>
                <c:pt idx="33">
                  <c:v>-1165.7119107132824</c:v>
                </c:pt>
                <c:pt idx="34">
                  <c:v>-2524.3766802290247</c:v>
                </c:pt>
                <c:pt idx="35">
                  <c:v>-5465.2400533287664</c:v>
                </c:pt>
                <c:pt idx="36">
                  <c:v>-11830.811291568816</c:v>
                </c:pt>
                <c:pt idx="37">
                  <c:v>-25609.247093705337</c:v>
                </c:pt>
                <c:pt idx="38">
                  <c:v>-55433.010908197692</c:v>
                </c:pt>
                <c:pt idx="39">
                  <c:v>-119987.28258573472</c:v>
                </c:pt>
                <c:pt idx="40">
                  <c:v>-259716.59434323502</c:v>
                </c:pt>
                <c:pt idx="41">
                  <c:v>-562164.13277652173</c:v>
                </c:pt>
                <c:pt idx="42">
                  <c:v>-1216819.2824641413</c:v>
                </c:pt>
                <c:pt idx="43">
                  <c:v>-2633836.4856213457</c:v>
                </c:pt>
                <c:pt idx="44">
                  <c:v>-5701005.1392271733</c:v>
                </c:pt>
                <c:pt idx="45">
                  <c:v>-12339967.269469095</c:v>
                </c:pt>
                <c:pt idx="46">
                  <c:v>-26710164.394094359</c:v>
                </c:pt>
                <c:pt idx="47">
                  <c:v>-57814810.17297598</c:v>
                </c:pt>
                <c:pt idx="48">
                  <c:v>-125141582.42523436</c:v>
                </c:pt>
                <c:pt idx="49">
                  <c:v>-270872039.99518114</c:v>
                </c:pt>
                <c:pt idx="50">
                  <c:v>-586309206.41649663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01-CC45-801D-E0855B4C99FC}"/>
            </c:ext>
          </c:extLst>
        </c:ser>
        <c:ser>
          <c:idx val="3"/>
          <c:order val="2"/>
          <c:tx>
            <c:v>cell2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calc!$H$3:$H$53</c:f>
              <c:numCache>
                <c:formatCode>0.0000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0.70000000000000007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0.82000000000000006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0.94000000000000006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xVal>
          <c:yVal>
            <c:numRef>
              <c:f>calc!$J$3:$J$53</c:f>
              <c:numCache>
                <c:formatCode>0.0000</c:formatCode>
                <c:ptCount val="51"/>
                <c:pt idx="0">
                  <c:v>1.0000000049994999</c:v>
                </c:pt>
                <c:pt idx="1">
                  <c:v>1.0000000049983353</c:v>
                </c:pt>
                <c:pt idx="2">
                  <c:v>1.0000000049958147</c:v>
                </c:pt>
                <c:pt idx="3">
                  <c:v>1.0000000049903588</c:v>
                </c:pt>
                <c:pt idx="4">
                  <c:v>1.0000000049785491</c:v>
                </c:pt>
                <c:pt idx="5">
                  <c:v>1.0000000049529869</c:v>
                </c:pt>
                <c:pt idx="6">
                  <c:v>1.0000000048976567</c:v>
                </c:pt>
                <c:pt idx="7">
                  <c:v>1.0000000047778934</c:v>
                </c:pt>
                <c:pt idx="8">
                  <c:v>1.0000000045186628</c:v>
                </c:pt>
                <c:pt idx="9">
                  <c:v>1.0000000039575516</c:v>
                </c:pt>
                <c:pt idx="10">
                  <c:v>1.0000000027430125</c:v>
                </c:pt>
                <c:pt idx="11">
                  <c:v>1.0000000001141127</c:v>
                </c:pt>
                <c:pt idx="12">
                  <c:v>0.99999999442379439</c:v>
                </c:pt>
                <c:pt idx="13">
                  <c:v>0.99999998210696028</c:v>
                </c:pt>
                <c:pt idx="14">
                  <c:v>0.99999995544686926</c:v>
                </c:pt>
                <c:pt idx="15">
                  <c:v>0.99999989774044518</c:v>
                </c:pt>
                <c:pt idx="16">
                  <c:v>0.99999977283346841</c:v>
                </c:pt>
                <c:pt idx="17">
                  <c:v>0.99999950246923919</c:v>
                </c:pt>
                <c:pt idx="18">
                  <c:v>0.99999891725920298</c:v>
                </c:pt>
                <c:pt idx="19">
                  <c:v>0.9999976505576591</c:v>
                </c:pt>
                <c:pt idx="20">
                  <c:v>0.99999490875095398</c:v>
                </c:pt>
                <c:pt idx="21">
                  <c:v>0.99998897404277876</c:v>
                </c:pt>
                <c:pt idx="22">
                  <c:v>0.99997612822069348</c:v>
                </c:pt>
                <c:pt idx="23">
                  <c:v>0.99994832312225035</c:v>
                </c:pt>
                <c:pt idx="24">
                  <c:v>0.99988813830151169</c:v>
                </c:pt>
                <c:pt idx="25">
                  <c:v>0.99975786677398115</c:v>
                </c:pt>
                <c:pt idx="26">
                  <c:v>0.99947589084256072</c:v>
                </c:pt>
                <c:pt idx="27">
                  <c:v>0.99886554699070285</c:v>
                </c:pt>
                <c:pt idx="28">
                  <c:v>0.99754444268359299</c:v>
                </c:pt>
                <c:pt idx="29">
                  <c:v>0.99468487985691545</c:v>
                </c:pt>
                <c:pt idx="30">
                  <c:v>0.98849528565477041</c:v>
                </c:pt>
                <c:pt idx="31">
                  <c:v>0.97509775648359243</c:v>
                </c:pt>
                <c:pt idx="32">
                  <c:v>0.94609847445790529</c:v>
                </c:pt>
                <c:pt idx="33">
                  <c:v>0.88332881392867169</c:v>
                </c:pt>
                <c:pt idx="34">
                  <c:v>0.74746233697709741</c:v>
                </c:pt>
                <c:pt idx="35">
                  <c:v>0.45337599966712328</c:v>
                </c:pt>
                <c:pt idx="36">
                  <c:v>-0.1831811241568817</c:v>
                </c:pt>
                <c:pt idx="37">
                  <c:v>-1.5610247043705336</c:v>
                </c:pt>
                <c:pt idx="38">
                  <c:v>-4.5434010858197702</c:v>
                </c:pt>
                <c:pt idx="39">
                  <c:v>-10.998828253573471</c:v>
                </c:pt>
                <c:pt idx="40">
                  <c:v>-24.971759429323502</c:v>
                </c:pt>
                <c:pt idx="41">
                  <c:v>-55.216513272652172</c:v>
                </c:pt>
                <c:pt idx="42">
                  <c:v>-120.68202824141413</c:v>
                </c:pt>
                <c:pt idx="43">
                  <c:v>-262.38374855713454</c:v>
                </c:pt>
                <c:pt idx="44">
                  <c:v>-569.1006139177174</c:v>
                </c:pt>
                <c:pt idx="45">
                  <c:v>-1232.9968269419094</c:v>
                </c:pt>
                <c:pt idx="46">
                  <c:v>-2670.0165394044361</c:v>
                </c:pt>
                <c:pt idx="47">
                  <c:v>-5780.4811172925974</c:v>
                </c:pt>
                <c:pt idx="48">
                  <c:v>-12513.158342518434</c:v>
                </c:pt>
                <c:pt idx="49">
                  <c:v>-27086.204099513114</c:v>
                </c:pt>
                <c:pt idx="50">
                  <c:v>-58629.920741644666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01-CC45-801D-E0855B4C99FC}"/>
            </c:ext>
          </c:extLst>
        </c:ser>
        <c:ser>
          <c:idx val="1"/>
          <c:order val="3"/>
          <c:tx>
            <c:v>Pmax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tandem!$C$20</c:f>
              <c:numCache>
                <c:formatCode>0.000000</c:formatCode>
                <c:ptCount val="1"/>
                <c:pt idx="0">
                  <c:v>1.0350767969188706</c:v>
                </c:pt>
              </c:numCache>
            </c:numRef>
          </c:xVal>
          <c:yVal>
            <c:numRef>
              <c:f>tandem!$C$21</c:f>
              <c:numCache>
                <c:formatCode>0.0000</c:formatCode>
                <c:ptCount val="1"/>
                <c:pt idx="0">
                  <c:v>0.95234050904678114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13-CC45-993C-B415932313D5}"/>
            </c:ext>
          </c:extLst>
        </c:ser>
        <c:ser>
          <c:idx val="4"/>
          <c:order val="4"/>
          <c:tx>
            <c:v>P1max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xVal>
            <c:numRef>
              <c:f>tandem!$F$6</c:f>
              <c:numCache>
                <c:formatCode>0.0000</c:formatCode>
                <c:ptCount val="1"/>
                <c:pt idx="0">
                  <c:v>0.40431551534898696</c:v>
                </c:pt>
              </c:numCache>
            </c:numRef>
          </c:xVal>
          <c:yVal>
            <c:numRef>
              <c:f>tandem!$F$7</c:f>
              <c:numCache>
                <c:formatCode>0.0000</c:formatCode>
                <c:ptCount val="1"/>
                <c:pt idx="0">
                  <c:v>0.93979760652590361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01-CC45-801D-E0855B4C99FC}"/>
            </c:ext>
          </c:extLst>
        </c:ser>
        <c:ser>
          <c:idx val="5"/>
          <c:order val="5"/>
          <c:tx>
            <c:v>P2max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tandem!$F$13</c:f>
              <c:numCache>
                <c:formatCode>0.0000</c:formatCode>
                <c:ptCount val="1"/>
                <c:pt idx="0">
                  <c:v>0.6318671017703319</c:v>
                </c:pt>
              </c:numCache>
            </c:numRef>
          </c:xVal>
          <c:yVal>
            <c:numRef>
              <c:f>tandem!$F$14</c:f>
              <c:numCache>
                <c:formatCode>0.0000</c:formatCode>
                <c:ptCount val="1"/>
                <c:pt idx="0">
                  <c:v>0.96062436469189949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01-CC45-801D-E0855B4C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919087"/>
        <c:axId val="1308920815"/>
      </c:scatterChart>
      <c:valAx>
        <c:axId val="130891908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920815"/>
        <c:crosses val="autoZero"/>
        <c:crossBetween val="midCat"/>
      </c:valAx>
      <c:valAx>
        <c:axId val="130892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 (mA)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9190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692150</xdr:colOff>
      <xdr:row>9</xdr:row>
      <xdr:rowOff>139700</xdr:rowOff>
    </xdr:from>
    <xdr:to>
      <xdr:col>13</xdr:col>
      <xdr:colOff>25400</xdr:colOff>
      <xdr:row>24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19</xdr:row>
          <xdr:rowOff>177800</xdr:rowOff>
        </xdr:from>
        <xdr:to>
          <xdr:col>5</xdr:col>
          <xdr:colOff>368300</xdr:colOff>
          <xdr:row>21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74093-DF6B-F344-A215-BF7E4431A2FB}">
  <sheetPr codeName="Sheet1"/>
  <dimension ref="A2:AP111"/>
  <sheetViews>
    <sheetView zoomScaleNormal="100" workbookViewId="0">
      <selection activeCell="B9" sqref="B9"/>
    </sheetView>
  </sheetViews>
  <sheetFormatPr baseColWidth="10" defaultRowHeight="16" x14ac:dyDescent="0.2"/>
  <cols>
    <col min="3" max="3" width="16" customWidth="1"/>
    <col min="8" max="8" width="19.1640625" customWidth="1"/>
  </cols>
  <sheetData>
    <row r="2" spans="1:42" x14ac:dyDescent="0.2">
      <c r="B2" t="s">
        <v>0</v>
      </c>
      <c r="C2" s="11">
        <v>2</v>
      </c>
      <c r="I2" t="s">
        <v>0</v>
      </c>
      <c r="J2" s="5">
        <v>2</v>
      </c>
    </row>
    <row r="3" spans="1:42" x14ac:dyDescent="0.2">
      <c r="B3" t="s">
        <v>1</v>
      </c>
      <c r="C3" s="13">
        <v>2.5899999999999999E-2</v>
      </c>
      <c r="I3" t="s">
        <v>1</v>
      </c>
      <c r="J3" s="5">
        <v>2.5899999999999999E-2</v>
      </c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x14ac:dyDescent="0.2">
      <c r="B4" t="s">
        <v>12</v>
      </c>
      <c r="C4" s="4">
        <f>calc!M18</f>
        <v>0.50000000249974996</v>
      </c>
      <c r="I4" t="s">
        <v>9</v>
      </c>
      <c r="J4" s="5">
        <v>1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</row>
    <row r="5" spans="1:42" x14ac:dyDescent="0.2">
      <c r="I5" t="s">
        <v>6</v>
      </c>
      <c r="J5" s="6">
        <v>1E-8</v>
      </c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</row>
    <row r="6" spans="1:42" x14ac:dyDescent="0.2">
      <c r="A6" t="s">
        <v>33</v>
      </c>
      <c r="B6" t="s">
        <v>9</v>
      </c>
      <c r="C6" s="12">
        <v>1</v>
      </c>
      <c r="E6" t="s">
        <v>34</v>
      </c>
      <c r="F6" s="2">
        <f>C6*C3*LN((C8-F7)/C7+1)</f>
        <v>0.40431551534898696</v>
      </c>
      <c r="I6" t="s">
        <v>10</v>
      </c>
      <c r="J6" s="5">
        <v>1</v>
      </c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</row>
    <row r="7" spans="1:42" x14ac:dyDescent="0.2">
      <c r="B7" t="s">
        <v>6</v>
      </c>
      <c r="C7" s="14">
        <v>1E-8</v>
      </c>
      <c r="E7" t="s">
        <v>35</v>
      </c>
      <c r="F7" s="2">
        <v>0.93979760652590361</v>
      </c>
      <c r="I7" t="s">
        <v>7</v>
      </c>
      <c r="J7" s="6">
        <v>9.9999999999999998E-13</v>
      </c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</row>
    <row r="8" spans="1:42" x14ac:dyDescent="0.2">
      <c r="B8" t="s">
        <v>2</v>
      </c>
      <c r="C8">
        <f>(1-C4)*C2</f>
        <v>0.99999999500050007</v>
      </c>
      <c r="E8" t="s">
        <v>36</v>
      </c>
      <c r="F8" s="2">
        <f>F6*F7</f>
        <v>0.3799747536062652</v>
      </c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</row>
    <row r="9" spans="1:42" x14ac:dyDescent="0.2">
      <c r="B9" t="s">
        <v>4</v>
      </c>
      <c r="C9" s="9">
        <f>C6*C3*LN((C8-C21)/C7+1)</f>
        <v>0.3982644906423437</v>
      </c>
      <c r="E9" t="s">
        <v>43</v>
      </c>
      <c r="F9" s="2">
        <f>C6*C3*LN((C8-0)/C7+1)</f>
        <v>0.47709563139787919</v>
      </c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</row>
    <row r="10" spans="1:42" x14ac:dyDescent="0.2">
      <c r="B10" t="s">
        <v>16</v>
      </c>
      <c r="C10" s="2">
        <f>C9*C21</f>
        <v>0.3792834077535866</v>
      </c>
      <c r="E10" t="s">
        <v>44</v>
      </c>
      <c r="F10" s="2">
        <f>C8</f>
        <v>0.99999999500050007</v>
      </c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</row>
    <row r="11" spans="1:42" x14ac:dyDescent="0.2">
      <c r="C11" s="1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</row>
    <row r="12" spans="1:42" x14ac:dyDescent="0.2">
      <c r="C12" s="1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</row>
    <row r="13" spans="1:42" x14ac:dyDescent="0.2">
      <c r="A13" t="s">
        <v>39</v>
      </c>
      <c r="B13" t="s">
        <v>10</v>
      </c>
      <c r="C13" s="12">
        <v>1</v>
      </c>
      <c r="E13" t="s">
        <v>38</v>
      </c>
      <c r="F13" s="2">
        <f>C13*C3*LN((C15-F14)/C14+1)</f>
        <v>0.6318671017703319</v>
      </c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</row>
    <row r="14" spans="1:42" x14ac:dyDescent="0.2">
      <c r="B14" t="s">
        <v>7</v>
      </c>
      <c r="C14" s="14">
        <v>9.9999999999999998E-13</v>
      </c>
      <c r="E14" t="s">
        <v>40</v>
      </c>
      <c r="F14" s="2">
        <v>0.96062436469189949</v>
      </c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</row>
    <row r="15" spans="1:42" x14ac:dyDescent="0.2">
      <c r="B15" t="s">
        <v>3</v>
      </c>
      <c r="C15">
        <f>C4*C2</f>
        <v>1.0000000049994999</v>
      </c>
      <c r="E15" t="s">
        <v>41</v>
      </c>
      <c r="F15" s="2">
        <f>F13*F14</f>
        <v>0.60698693320783692</v>
      </c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</row>
    <row r="16" spans="1:42" x14ac:dyDescent="0.2">
      <c r="B16" t="s">
        <v>5</v>
      </c>
      <c r="C16" s="9">
        <f>C13*C3*LN((C15-C21)/C14+1)</f>
        <v>0.63681230627652674</v>
      </c>
      <c r="E16" t="s">
        <v>45</v>
      </c>
      <c r="F16" s="2">
        <f>C13*C3*LN((C15-0)/C14+1)</f>
        <v>0.7156434470320624</v>
      </c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</row>
    <row r="17" spans="2:42" x14ac:dyDescent="0.2">
      <c r="B17" t="s">
        <v>17</v>
      </c>
      <c r="C17">
        <f>C16*C21</f>
        <v>0.60646215592664221</v>
      </c>
      <c r="E17" t="s">
        <v>46</v>
      </c>
      <c r="F17" s="2">
        <f>C15</f>
        <v>1.0000000049994999</v>
      </c>
    </row>
    <row r="18" spans="2:42" x14ac:dyDescent="0.2"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</row>
    <row r="19" spans="2:42" x14ac:dyDescent="0.2">
      <c r="B19" t="s">
        <v>28</v>
      </c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</row>
    <row r="20" spans="2:42" x14ac:dyDescent="0.2">
      <c r="B20" t="s">
        <v>31</v>
      </c>
      <c r="C20" s="9">
        <f>C9+C16</f>
        <v>1.0350767969188706</v>
      </c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</row>
    <row r="21" spans="2:42" x14ac:dyDescent="0.2">
      <c r="B21" t="s">
        <v>32</v>
      </c>
      <c r="C21" s="2">
        <v>0.95234050904678114</v>
      </c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</row>
    <row r="22" spans="2:42" x14ac:dyDescent="0.2">
      <c r="B22" t="s">
        <v>37</v>
      </c>
      <c r="C22" s="10">
        <f>C21*C20</f>
        <v>0.98574556368022892</v>
      </c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</row>
    <row r="23" spans="2:42" x14ac:dyDescent="0.2"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</row>
    <row r="24" spans="2:42" ht="19" x14ac:dyDescent="0.25">
      <c r="B24" t="s">
        <v>24</v>
      </c>
      <c r="C24" s="2">
        <f>C6*C3*LN((C8-0)/C7+1)+C13*C3*LN((C15-0)/C14+1)</f>
        <v>1.1927390784299416</v>
      </c>
      <c r="E24" s="8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</row>
    <row r="25" spans="2:42" x14ac:dyDescent="0.2">
      <c r="B25" t="s">
        <v>20</v>
      </c>
      <c r="C25" s="2">
        <f>calc!M21</f>
        <v>0.99999918269779531</v>
      </c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</row>
    <row r="26" spans="2:42" x14ac:dyDescent="0.2">
      <c r="B26" s="1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</row>
    <row r="27" spans="2:42" x14ac:dyDescent="0.2"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</row>
    <row r="28" spans="2:42" x14ac:dyDescent="0.2"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</row>
    <row r="29" spans="2:42" x14ac:dyDescent="0.2">
      <c r="C29" t="s">
        <v>30</v>
      </c>
      <c r="D29" t="s">
        <v>21</v>
      </c>
      <c r="E29" s="2">
        <v>4.4095234882366645</v>
      </c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</row>
    <row r="30" spans="2:42" x14ac:dyDescent="0.2">
      <c r="D30" t="s">
        <v>27</v>
      </c>
      <c r="E30" s="7">
        <f>calc!M21-calc!M22</f>
        <v>-8.2230269249361498E-7</v>
      </c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</row>
    <row r="31" spans="2:42" x14ac:dyDescent="0.2"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</row>
    <row r="32" spans="2:42" x14ac:dyDescent="0.2"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</row>
    <row r="33" spans="3:39" x14ac:dyDescent="0.2">
      <c r="C33" t="s">
        <v>50</v>
      </c>
      <c r="D33">
        <v>0</v>
      </c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</row>
    <row r="34" spans="3:39" x14ac:dyDescent="0.2"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</row>
    <row r="35" spans="3:39" x14ac:dyDescent="0.2">
      <c r="H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</row>
    <row r="36" spans="3:39" x14ac:dyDescent="0.2">
      <c r="H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</row>
    <row r="37" spans="3:39" x14ac:dyDescent="0.2">
      <c r="H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</row>
    <row r="38" spans="3:39" x14ac:dyDescent="0.2"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</row>
    <row r="39" spans="3:39" x14ac:dyDescent="0.2"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</row>
    <row r="40" spans="3:39" x14ac:dyDescent="0.2"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</row>
    <row r="41" spans="3:39" x14ac:dyDescent="0.2"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</row>
    <row r="42" spans="3:39" x14ac:dyDescent="0.2"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</row>
    <row r="43" spans="3:39" x14ac:dyDescent="0.2">
      <c r="H43" s="1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</row>
    <row r="44" spans="3:39" x14ac:dyDescent="0.2">
      <c r="H44" s="1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</row>
    <row r="45" spans="3:39" x14ac:dyDescent="0.2">
      <c r="H45" s="1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</row>
    <row r="46" spans="3:39" x14ac:dyDescent="0.2">
      <c r="H46" s="1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</row>
    <row r="47" spans="3:39" x14ac:dyDescent="0.2">
      <c r="H47" s="1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</row>
    <row r="48" spans="3:39" x14ac:dyDescent="0.2">
      <c r="H48" s="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</row>
    <row r="49" spans="8:39" x14ac:dyDescent="0.2">
      <c r="H49" s="1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</row>
    <row r="50" spans="8:39" x14ac:dyDescent="0.2">
      <c r="H50" s="1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</row>
    <row r="51" spans="8:39" x14ac:dyDescent="0.2">
      <c r="H51" s="1"/>
    </row>
    <row r="52" spans="8:39" x14ac:dyDescent="0.2">
      <c r="H52" s="1"/>
    </row>
    <row r="53" spans="8:39" x14ac:dyDescent="0.2">
      <c r="H53" s="1"/>
    </row>
    <row r="54" spans="8:39" x14ac:dyDescent="0.2">
      <c r="H54" s="1"/>
    </row>
    <row r="55" spans="8:39" x14ac:dyDescent="0.2">
      <c r="H55" s="1"/>
    </row>
    <row r="56" spans="8:39" x14ac:dyDescent="0.2">
      <c r="H56" s="1"/>
    </row>
    <row r="57" spans="8:39" x14ac:dyDescent="0.2">
      <c r="H57" s="1"/>
    </row>
    <row r="58" spans="8:39" x14ac:dyDescent="0.2">
      <c r="H58" s="1"/>
    </row>
    <row r="59" spans="8:39" x14ac:dyDescent="0.2">
      <c r="H59" s="1"/>
    </row>
    <row r="60" spans="8:39" x14ac:dyDescent="0.2">
      <c r="H60" s="1"/>
    </row>
    <row r="61" spans="8:39" x14ac:dyDescent="0.2">
      <c r="H61" s="1"/>
    </row>
    <row r="62" spans="8:39" x14ac:dyDescent="0.2">
      <c r="H62" s="1"/>
    </row>
    <row r="63" spans="8:39" x14ac:dyDescent="0.2">
      <c r="H63" s="1"/>
    </row>
    <row r="64" spans="8:39" x14ac:dyDescent="0.2">
      <c r="H64" s="1"/>
    </row>
    <row r="65" spans="8:8" x14ac:dyDescent="0.2">
      <c r="H65" s="1"/>
    </row>
    <row r="66" spans="8:8" x14ac:dyDescent="0.2">
      <c r="H66" s="1"/>
    </row>
    <row r="67" spans="8:8" x14ac:dyDescent="0.2">
      <c r="H67" s="1"/>
    </row>
    <row r="68" spans="8:8" x14ac:dyDescent="0.2">
      <c r="H68" s="1"/>
    </row>
    <row r="69" spans="8:8" x14ac:dyDescent="0.2">
      <c r="H69" s="1"/>
    </row>
    <row r="70" spans="8:8" x14ac:dyDescent="0.2">
      <c r="H70" s="1"/>
    </row>
    <row r="71" spans="8:8" x14ac:dyDescent="0.2">
      <c r="H71" s="1"/>
    </row>
    <row r="72" spans="8:8" x14ac:dyDescent="0.2">
      <c r="H72" s="1"/>
    </row>
    <row r="73" spans="8:8" x14ac:dyDescent="0.2">
      <c r="H73" s="1"/>
    </row>
    <row r="74" spans="8:8" x14ac:dyDescent="0.2">
      <c r="H74" s="1"/>
    </row>
    <row r="75" spans="8:8" x14ac:dyDescent="0.2">
      <c r="H75" s="1"/>
    </row>
    <row r="76" spans="8:8" x14ac:dyDescent="0.2">
      <c r="H76" s="1"/>
    </row>
    <row r="77" spans="8:8" x14ac:dyDescent="0.2">
      <c r="H77" s="1"/>
    </row>
    <row r="78" spans="8:8" x14ac:dyDescent="0.2">
      <c r="H78" s="1"/>
    </row>
    <row r="79" spans="8:8" x14ac:dyDescent="0.2">
      <c r="H79" s="1"/>
    </row>
    <row r="80" spans="8:8" x14ac:dyDescent="0.2">
      <c r="H80" s="1"/>
    </row>
    <row r="81" spans="8:8" x14ac:dyDescent="0.2">
      <c r="H81" s="1"/>
    </row>
    <row r="82" spans="8:8" x14ac:dyDescent="0.2">
      <c r="H82" s="1"/>
    </row>
    <row r="83" spans="8:8" x14ac:dyDescent="0.2">
      <c r="H83" s="1"/>
    </row>
    <row r="84" spans="8:8" x14ac:dyDescent="0.2">
      <c r="H84" s="1"/>
    </row>
    <row r="85" spans="8:8" x14ac:dyDescent="0.2">
      <c r="H85" s="1"/>
    </row>
    <row r="86" spans="8:8" x14ac:dyDescent="0.2">
      <c r="H86" s="1"/>
    </row>
    <row r="87" spans="8:8" x14ac:dyDescent="0.2">
      <c r="H87" s="1"/>
    </row>
    <row r="88" spans="8:8" x14ac:dyDescent="0.2">
      <c r="H88" s="1"/>
    </row>
    <row r="89" spans="8:8" x14ac:dyDescent="0.2">
      <c r="H89" s="1"/>
    </row>
    <row r="90" spans="8:8" x14ac:dyDescent="0.2">
      <c r="H90" s="1"/>
    </row>
    <row r="91" spans="8:8" x14ac:dyDescent="0.2">
      <c r="H91" s="1"/>
    </row>
    <row r="92" spans="8:8" x14ac:dyDescent="0.2">
      <c r="H92" s="1"/>
    </row>
    <row r="93" spans="8:8" x14ac:dyDescent="0.2">
      <c r="H93" s="1"/>
    </row>
    <row r="94" spans="8:8" x14ac:dyDescent="0.2">
      <c r="H94" s="1"/>
    </row>
    <row r="95" spans="8:8" x14ac:dyDescent="0.2">
      <c r="H95" s="1"/>
    </row>
    <row r="96" spans="8:8" x14ac:dyDescent="0.2">
      <c r="H96" s="1"/>
    </row>
    <row r="97" spans="8:8" x14ac:dyDescent="0.2">
      <c r="H97" s="1"/>
    </row>
    <row r="98" spans="8:8" x14ac:dyDescent="0.2">
      <c r="H98" s="1"/>
    </row>
    <row r="99" spans="8:8" x14ac:dyDescent="0.2">
      <c r="H99" s="1"/>
    </row>
    <row r="100" spans="8:8" x14ac:dyDescent="0.2">
      <c r="H100" s="1"/>
    </row>
    <row r="101" spans="8:8" x14ac:dyDescent="0.2">
      <c r="H101" s="1"/>
    </row>
    <row r="102" spans="8:8" x14ac:dyDescent="0.2">
      <c r="H102" s="1"/>
    </row>
    <row r="103" spans="8:8" x14ac:dyDescent="0.2">
      <c r="H103" s="1"/>
    </row>
    <row r="104" spans="8:8" x14ac:dyDescent="0.2">
      <c r="H104" s="1"/>
    </row>
    <row r="105" spans="8:8" x14ac:dyDescent="0.2">
      <c r="H105" s="1"/>
    </row>
    <row r="106" spans="8:8" x14ac:dyDescent="0.2">
      <c r="H106" s="1"/>
    </row>
    <row r="107" spans="8:8" x14ac:dyDescent="0.2">
      <c r="H107" s="1"/>
    </row>
    <row r="108" spans="8:8" x14ac:dyDescent="0.2">
      <c r="H108" s="1"/>
    </row>
    <row r="109" spans="8:8" x14ac:dyDescent="0.2">
      <c r="H109" s="1"/>
    </row>
    <row r="110" spans="8:8" x14ac:dyDescent="0.2">
      <c r="H110" s="1"/>
    </row>
    <row r="111" spans="8:8" x14ac:dyDescent="0.2">
      <c r="H11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ThisWorkbook.SolveAll">
                <anchor moveWithCells="1" sizeWithCells="1">
                  <from>
                    <xdr:col>3</xdr:col>
                    <xdr:colOff>495300</xdr:colOff>
                    <xdr:row>19</xdr:row>
                    <xdr:rowOff>177800</xdr:rowOff>
                  </from>
                  <to>
                    <xdr:col>5</xdr:col>
                    <xdr:colOff>368300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60853-FE37-FF4E-B326-E4F0DFBF5AC2}">
  <sheetPr codeName="Sheet3"/>
  <dimension ref="A2:M111"/>
  <sheetViews>
    <sheetView tabSelected="1" workbookViewId="0">
      <selection activeCell="L26" sqref="L26:M26"/>
    </sheetView>
  </sheetViews>
  <sheetFormatPr baseColWidth="10" defaultRowHeight="16" x14ac:dyDescent="0.2"/>
  <cols>
    <col min="1" max="1" width="12.1640625" bestFit="1" customWidth="1"/>
    <col min="6" max="6" width="10.1640625" customWidth="1"/>
  </cols>
  <sheetData>
    <row r="2" spans="1:13" x14ac:dyDescent="0.2">
      <c r="C2" t="s">
        <v>8</v>
      </c>
      <c r="D2" t="s">
        <v>4</v>
      </c>
      <c r="E2" t="s">
        <v>19</v>
      </c>
      <c r="F2" t="s">
        <v>18</v>
      </c>
      <c r="G2" t="s">
        <v>48</v>
      </c>
      <c r="H2" t="s">
        <v>49</v>
      </c>
      <c r="I2" s="2" t="s">
        <v>42</v>
      </c>
      <c r="J2" t="s">
        <v>47</v>
      </c>
      <c r="L2" t="s">
        <v>11</v>
      </c>
      <c r="M2">
        <f>tandem!C6+tandem!C13</f>
        <v>2</v>
      </c>
    </row>
    <row r="3" spans="1:13" x14ac:dyDescent="0.2">
      <c r="A3">
        <v>0</v>
      </c>
      <c r="B3">
        <f t="shared" ref="B3:B34" si="0">1-(EXP(A3)-1)/(EXP(1)-1)</f>
        <v>1</v>
      </c>
      <c r="C3" s="2">
        <f>B3*M$27</f>
        <v>1</v>
      </c>
      <c r="D3" s="2">
        <f>tandem!C$6*tandem!C$3*LN((M$29-C3)/tandem!C$7+1)</f>
        <v>0.49504814337436887</v>
      </c>
      <c r="E3" s="2">
        <f>tandem!C$13*tandem!C$3*LN((M$31-C3)/tandem!C$14+1)</f>
        <v>0.71564344690257531</v>
      </c>
      <c r="F3" s="2">
        <v>0</v>
      </c>
      <c r="G3" s="2">
        <f>A3*M$30</f>
        <v>0</v>
      </c>
      <c r="H3" s="2">
        <f>A3*M$32</f>
        <v>0</v>
      </c>
      <c r="I3" s="2">
        <f>tandem!C$8-tandem!C$7*(EXP(G3/tandem!C$6/tandem!C$3)-1)</f>
        <v>0.99999999500050007</v>
      </c>
      <c r="J3" s="2">
        <f>tandem!C$15-tandem!C$14*(EXP(H3/tandem!C$13/tandem!C$3)-1)</f>
        <v>1.0000000049994999</v>
      </c>
      <c r="L3" t="s">
        <v>22</v>
      </c>
      <c r="M3">
        <f>tandem!C6/M2</f>
        <v>0.5</v>
      </c>
    </row>
    <row r="4" spans="1:13" x14ac:dyDescent="0.2">
      <c r="A4">
        <v>0.02</v>
      </c>
      <c r="B4">
        <f t="shared" si="0"/>
        <v>0.98824329065688121</v>
      </c>
      <c r="C4" s="2">
        <f>B4*M$27</f>
        <v>0.98824329065688121</v>
      </c>
      <c r="D4" s="2">
        <f>tandem!C$6*tandem!C$3*LN((M$29-C4)/tandem!C$7+1)</f>
        <v>0.49519994701762732</v>
      </c>
      <c r="E4" s="2">
        <f>tandem!C$13*tandem!C$3*LN((M$31-C4)/tandem!C$14+1)</f>
        <v>0.71594616962952662</v>
      </c>
      <c r="F4" s="2">
        <f t="shared" ref="F4:F35" si="1">D4+E4</f>
        <v>1.211146116647154</v>
      </c>
      <c r="G4" s="2">
        <f t="shared" ref="G4:G53" si="2">A4*M$30</f>
        <v>0.02</v>
      </c>
      <c r="H4" s="2">
        <f t="shared" ref="H4:H53" si="3">A4*M$32</f>
        <v>0.02</v>
      </c>
      <c r="I4" s="2">
        <f>tandem!C$8-tandem!C$7*(EXP(G4/tandem!C$6/tandem!C$3)-1)</f>
        <v>0.99999998335525364</v>
      </c>
      <c r="J4" s="2">
        <f>tandem!C$15-tandem!C$14*(EXP(H4/tandem!C$13/tandem!C$3)-1)</f>
        <v>1.0000000049983353</v>
      </c>
      <c r="L4" t="s">
        <v>23</v>
      </c>
      <c r="M4">
        <f>tandem!C13/M2</f>
        <v>0.5</v>
      </c>
    </row>
    <row r="5" spans="1:13" x14ac:dyDescent="0.2">
      <c r="A5">
        <v>0.04</v>
      </c>
      <c r="B5">
        <f t="shared" si="0"/>
        <v>0.97624908003072619</v>
      </c>
      <c r="C5" s="2">
        <f t="shared" ref="C5:C53" si="4">B5*M$27</f>
        <v>0.97624908003072619</v>
      </c>
      <c r="D5" s="2">
        <f>tandem!C$6*tandem!C$3*LN((M$29-C5)/tandem!C$7+1)</f>
        <v>0.49535390582378358</v>
      </c>
      <c r="E5" s="2">
        <f>tandem!C$13*tandem!C$3*LN((M$31-C5)/tandem!C$14+1)</f>
        <v>0.71625140420219569</v>
      </c>
      <c r="F5" s="2">
        <f t="shared" si="1"/>
        <v>1.2116053100259792</v>
      </c>
      <c r="G5" s="2">
        <f t="shared" si="2"/>
        <v>0.04</v>
      </c>
      <c r="H5" s="2">
        <f t="shared" si="3"/>
        <v>0.04</v>
      </c>
      <c r="I5" s="2">
        <f>tandem!C$8-tandem!C$7*(EXP(G5/tandem!C$6/tandem!C$3)-1)</f>
        <v>0.9999999581488308</v>
      </c>
      <c r="J5" s="2">
        <f>tandem!C$15-tandem!C$14*(EXP(H5/tandem!C$13/tandem!C$3)-1)</f>
        <v>1.0000000049958147</v>
      </c>
    </row>
    <row r="6" spans="1:13" x14ac:dyDescent="0.2">
      <c r="A6">
        <v>0.06</v>
      </c>
      <c r="B6">
        <f t="shared" si="0"/>
        <v>0.96401257027735976</v>
      </c>
      <c r="C6" s="2">
        <f t="shared" si="4"/>
        <v>0.96401257027735976</v>
      </c>
      <c r="D6" s="2">
        <f>tandem!C$6*tandem!C$3*LN((M$29-C6)/tandem!C$7+1)</f>
        <v>0.49551003734434007</v>
      </c>
      <c r="E6" s="2">
        <f>tandem!C$13*tandem!C$3*LN((M$31-C6)/tandem!C$14+1)</f>
        <v>0.71655914166911971</v>
      </c>
      <c r="F6" s="2">
        <f t="shared" si="1"/>
        <v>1.2120691790134597</v>
      </c>
      <c r="G6" s="2">
        <f t="shared" si="2"/>
        <v>0.06</v>
      </c>
      <c r="H6" s="2">
        <f t="shared" si="3"/>
        <v>0.06</v>
      </c>
      <c r="I6" s="2">
        <f>tandem!C$8-tandem!C$7*(EXP(G6/tandem!C$6/tandem!C$3)-1)</f>
        <v>0.99999990358890756</v>
      </c>
      <c r="J6" s="2">
        <f>tandem!C$15-tandem!C$14*(EXP(H6/tandem!C$13/tandem!C$3)-1)</f>
        <v>1.0000000049903588</v>
      </c>
      <c r="L6">
        <f>1-L13</f>
        <v>0.5</v>
      </c>
      <c r="M6">
        <f>L6*tandem!C2</f>
        <v>1</v>
      </c>
    </row>
    <row r="7" spans="1:13" x14ac:dyDescent="0.2">
      <c r="A7">
        <v>0.08</v>
      </c>
      <c r="B7">
        <f t="shared" si="0"/>
        <v>0.9515288666297248</v>
      </c>
      <c r="C7" s="2">
        <f t="shared" si="4"/>
        <v>0.9515288666297248</v>
      </c>
      <c r="D7" s="2">
        <f>tandem!C$6*tandem!C$3*LN((M$29-C7)/tandem!C$7+1)</f>
        <v>0.49566835890627731</v>
      </c>
      <c r="E7" s="2">
        <f>tandem!C$13*tandem!C$3*LN((M$31-C7)/tandem!C$14+1)</f>
        <v>0.71686937262878447</v>
      </c>
      <c r="F7" s="2">
        <f t="shared" si="1"/>
        <v>1.2125377315350618</v>
      </c>
      <c r="G7" s="2">
        <f t="shared" si="2"/>
        <v>0.08</v>
      </c>
      <c r="H7" s="2">
        <f t="shared" si="3"/>
        <v>0.08</v>
      </c>
      <c r="I7" s="2">
        <f>tandem!C$8-tandem!C$7*(EXP(G7/tandem!C$6/tandem!C$3)-1)</f>
        <v>0.99999978549260904</v>
      </c>
      <c r="J7" s="2">
        <f>tandem!C$15-tandem!C$14*(EXP(H7/tandem!C$13/tandem!C$3)-1)</f>
        <v>1.0000000049785491</v>
      </c>
      <c r="L7">
        <f t="shared" ref="L7:M9" si="5">-L14</f>
        <v>0</v>
      </c>
      <c r="M7" s="3">
        <f t="shared" si="5"/>
        <v>0</v>
      </c>
    </row>
    <row r="8" spans="1:13" x14ac:dyDescent="0.2">
      <c r="A8">
        <v>0.1</v>
      </c>
      <c r="B8">
        <f t="shared" si="0"/>
        <v>0.9387929754399108</v>
      </c>
      <c r="C8" s="2">
        <f t="shared" si="4"/>
        <v>0.9387929754399108</v>
      </c>
      <c r="D8" s="2">
        <f>tandem!C$6*tandem!C$3*LN((M$29-C8)/tandem!C$7+1)</f>
        <v>0.49582888760147387</v>
      </c>
      <c r="E8" s="2">
        <f>tandem!C$13*tandem!C$3*LN((M$31-C8)/tandem!C$14+1)</f>
        <v>0.7171820872367447</v>
      </c>
      <c r="F8" s="2">
        <f t="shared" si="1"/>
        <v>1.2130109748382185</v>
      </c>
      <c r="G8" s="2">
        <f t="shared" si="2"/>
        <v>0.1</v>
      </c>
      <c r="H8" s="2">
        <f t="shared" si="3"/>
        <v>0.1</v>
      </c>
      <c r="I8" s="2">
        <f>tandem!C$8-tandem!C$7*(EXP(G8/tandem!C$6/tandem!C$3)-1)</f>
        <v>0.99999952987026097</v>
      </c>
      <c r="J8" s="2">
        <f>tandem!C$15-tandem!C$14*(EXP(H8/tandem!C$13/tandem!C$3)-1)</f>
        <v>1.0000000049529869</v>
      </c>
      <c r="L8">
        <f t="shared" si="5"/>
        <v>-0.5</v>
      </c>
      <c r="M8" s="1">
        <f t="shared" si="5"/>
        <v>-5.0000000000000001E-9</v>
      </c>
    </row>
    <row r="9" spans="1:13" x14ac:dyDescent="0.2">
      <c r="A9">
        <v>0.12</v>
      </c>
      <c r="B9">
        <f t="shared" si="0"/>
        <v>0.92579980218162761</v>
      </c>
      <c r="C9" s="2">
        <f t="shared" si="4"/>
        <v>0.92579980218162761</v>
      </c>
      <c r="D9" s="2">
        <f>tandem!C$6*tandem!C$3*LN((M$29-C9)/tandem!C$7+1)</f>
        <v>0.49599164027613402</v>
      </c>
      <c r="E9" s="2">
        <f>tandem!C$13*tandem!C$3*LN((M$31-C9)/tandem!C$14+1)</f>
        <v>0.71749727521303608</v>
      </c>
      <c r="F9" s="2">
        <f t="shared" si="1"/>
        <v>1.2134889154891702</v>
      </c>
      <c r="G9" s="2">
        <f t="shared" si="2"/>
        <v>0.12</v>
      </c>
      <c r="H9" s="2">
        <f t="shared" si="3"/>
        <v>0.12</v>
      </c>
      <c r="I9" s="2">
        <f>tandem!C$8-tandem!C$7*(EXP(G9/tandem!C$6/tandem!C$3)-1)</f>
        <v>0.99999897656938963</v>
      </c>
      <c r="J9" s="2">
        <f>tandem!C$15-tandem!C$14*(EXP(H9/tandem!C$13/tandem!C$3)-1)</f>
        <v>1.0000000048976567</v>
      </c>
      <c r="L9">
        <f t="shared" si="5"/>
        <v>0.5</v>
      </c>
      <c r="M9" s="1">
        <f t="shared" si="5"/>
        <v>4.9999999999999999E-13</v>
      </c>
    </row>
    <row r="10" spans="1:13" x14ac:dyDescent="0.2">
      <c r="A10">
        <v>0.14000000000000001</v>
      </c>
      <c r="B10">
        <f t="shared" si="0"/>
        <v>0.91254414941232731</v>
      </c>
      <c r="C10" s="2">
        <f t="shared" si="4"/>
        <v>0.91254414941232731</v>
      </c>
      <c r="D10" s="2">
        <f>tandem!C$6*tandem!C$3*LN((M$29-C10)/tandem!C$7+1)</f>
        <v>0.49615663352023448</v>
      </c>
      <c r="E10" s="2">
        <f>tandem!C$13*tandem!C$3*LN((M$31-C10)/tandem!C$14+1)</f>
        <v>0.71781492584986584</v>
      </c>
      <c r="F10" s="2">
        <f t="shared" si="1"/>
        <v>1.2139715593701004</v>
      </c>
      <c r="G10" s="2">
        <f t="shared" si="2"/>
        <v>0.14000000000000001</v>
      </c>
      <c r="H10" s="2">
        <f t="shared" si="3"/>
        <v>0.14000000000000001</v>
      </c>
      <c r="I10" s="2">
        <f>tandem!C$8-tandem!C$7*(EXP(G10/tandem!C$6/tandem!C$3)-1)</f>
        <v>0.9999977789360196</v>
      </c>
      <c r="J10" s="2">
        <f>tandem!C$15-tandem!C$14*(EXP(H10/tandem!C$13/tandem!C$3)-1)</f>
        <v>1.0000000047778934</v>
      </c>
      <c r="L10" t="s">
        <v>14</v>
      </c>
      <c r="M10">
        <f>SUM(M6:M9)</f>
        <v>0.99999999500050007</v>
      </c>
    </row>
    <row r="11" spans="1:13" x14ac:dyDescent="0.2">
      <c r="A11">
        <v>0.16</v>
      </c>
      <c r="B11">
        <f t="shared" si="0"/>
        <v>0.89902071469415767</v>
      </c>
      <c r="C11" s="2">
        <f t="shared" si="4"/>
        <v>0.89902071469415767</v>
      </c>
      <c r="D11" s="2">
        <f>tandem!C$6*tandem!C$3*LN((M$29-C11)/tandem!C$7+1)</f>
        <v>0.49632388365700325</v>
      </c>
      <c r="E11" s="2">
        <f>tandem!C$13*tandem!C$3*LN((M$31-C11)/tandem!C$14+1)</f>
        <v>0.71813502801957363</v>
      </c>
      <c r="F11" s="2">
        <f t="shared" si="1"/>
        <v>1.2144589116765769</v>
      </c>
      <c r="G11" s="2">
        <f t="shared" si="2"/>
        <v>0.16</v>
      </c>
      <c r="H11" s="2">
        <f t="shared" si="3"/>
        <v>0.16</v>
      </c>
      <c r="I11" s="2">
        <f>tandem!C$8-tandem!C$7*(EXP(G11/tandem!C$6/tandem!C$3)-1)</f>
        <v>0.99999518662907849</v>
      </c>
      <c r="J11" s="2">
        <f>tandem!C$15-tandem!C$14*(EXP(H11/tandem!C$13/tandem!C$3)-1)</f>
        <v>1.0000000045186628</v>
      </c>
      <c r="L11" s="1" t="s">
        <v>13</v>
      </c>
      <c r="M11" s="4">
        <f>1-M18</f>
        <v>0.49999999750025004</v>
      </c>
    </row>
    <row r="12" spans="1:13" x14ac:dyDescent="0.2">
      <c r="A12">
        <v>0.18</v>
      </c>
      <c r="B12">
        <f t="shared" si="0"/>
        <v>0.88522408847291678</v>
      </c>
      <c r="C12" s="2">
        <f t="shared" si="4"/>
        <v>0.88522408847291678</v>
      </c>
      <c r="D12" s="2">
        <f>tandem!C$6*tandem!C$3*LN((M$29-C12)/tandem!C$7+1)</f>
        <v>0.49649340673244435</v>
      </c>
      <c r="E12" s="2">
        <f>tandem!C$13*tandem!C$3*LN((M$31-C12)/tandem!C$14+1)</f>
        <v>0.71845757018284595</v>
      </c>
      <c r="F12" s="2">
        <f t="shared" si="1"/>
        <v>1.2149509769152904</v>
      </c>
      <c r="G12" s="2">
        <f t="shared" si="2"/>
        <v>0.18</v>
      </c>
      <c r="H12" s="2">
        <f t="shared" si="3"/>
        <v>0.18</v>
      </c>
      <c r="I12" s="2">
        <f>tandem!C$8-tandem!C$7*(EXP(G12/tandem!C$6/tandem!C$3)-1)</f>
        <v>0.99998957551682643</v>
      </c>
      <c r="J12" s="2">
        <f>tandem!C$15-tandem!C$14*(EXP(H12/tandem!C$13/tandem!C$3)-1)</f>
        <v>1.0000000039575516</v>
      </c>
    </row>
    <row r="13" spans="1:13" x14ac:dyDescent="0.2">
      <c r="A13">
        <v>0.2</v>
      </c>
      <c r="B13">
        <f t="shared" si="0"/>
        <v>0.87114875191415841</v>
      </c>
      <c r="C13" s="2">
        <f t="shared" si="4"/>
        <v>0.87114875191415841</v>
      </c>
      <c r="D13" s="2">
        <f>tandem!C$6*tandem!C$3*LN((M$29-C13)/tandem!C$7+1)</f>
        <v>0.49666521850491818</v>
      </c>
      <c r="E13" s="2">
        <f>tandem!C$13*tandem!C$3*LN((M$31-C13)/tandem!C$14+1)</f>
        <v>0.71878254039717604</v>
      </c>
      <c r="F13" s="2">
        <f t="shared" si="1"/>
        <v>1.2154477589020942</v>
      </c>
      <c r="G13" s="2">
        <f t="shared" si="2"/>
        <v>0.2</v>
      </c>
      <c r="H13" s="2">
        <f t="shared" si="3"/>
        <v>0.2</v>
      </c>
      <c r="I13" s="2">
        <f>tandem!C$8-tandem!C$7*(EXP(G13/tandem!C$6/tandem!C$3)-1)</f>
        <v>0.99997743012609086</v>
      </c>
      <c r="J13" s="2">
        <f>tandem!C$15-tandem!C$14*(EXP(H13/tandem!C$13/tandem!C$3)-1)</f>
        <v>1.0000000027430125</v>
      </c>
      <c r="L13">
        <f>M4</f>
        <v>0.5</v>
      </c>
      <c r="M13">
        <f>L13*Ip_mA</f>
        <v>1</v>
      </c>
    </row>
    <row r="14" spans="1:13" x14ac:dyDescent="0.2">
      <c r="A14">
        <v>0.22</v>
      </c>
      <c r="B14">
        <f t="shared" si="0"/>
        <v>0.85678907469558574</v>
      </c>
      <c r="C14" s="2">
        <f t="shared" si="4"/>
        <v>0.85678907469558574</v>
      </c>
      <c r="D14" s="2">
        <f>tandem!C$6*tandem!C$3*LN((M$29-C14)/tandem!C$7+1)</f>
        <v>0.49683933443479439</v>
      </c>
      <c r="E14" s="2">
        <f>tandem!C$13*tandem!C$3*LN((M$31-C14)/tandem!C$14+1)</f>
        <v>0.71910992632555271</v>
      </c>
      <c r="F14" s="2">
        <f t="shared" si="1"/>
        <v>1.215949260760347</v>
      </c>
      <c r="G14" s="2">
        <f t="shared" si="2"/>
        <v>0.22</v>
      </c>
      <c r="H14" s="2">
        <f t="shared" si="3"/>
        <v>0.22</v>
      </c>
      <c r="I14" s="2">
        <f>tandem!C$8-tandem!C$7*(EXP(G14/tandem!C$6/tandem!C$3)-1)</f>
        <v>0.99995114112856343</v>
      </c>
      <c r="J14" s="2">
        <f>tandem!C$15-tandem!C$14*(EXP(H14/tandem!C$13/tandem!C$3)-1)</f>
        <v>1.0000000001141127</v>
      </c>
      <c r="L14">
        <f>M4-M3</f>
        <v>0</v>
      </c>
      <c r="M14" s="3">
        <f>L14*Im_mA</f>
        <v>0</v>
      </c>
    </row>
    <row r="15" spans="1:13" x14ac:dyDescent="0.2">
      <c r="A15">
        <v>0.24</v>
      </c>
      <c r="B15">
        <f t="shared" si="0"/>
        <v>0.84213931275484599</v>
      </c>
      <c r="C15" s="2">
        <f t="shared" si="4"/>
        <v>0.84213931275484599</v>
      </c>
      <c r="D15" s="2">
        <f>tandem!C$6*tandem!C$3*LN((M$29-C15)/tandem!C$7+1)</f>
        <v>0.49701576967418781</v>
      </c>
      <c r="E15" s="2">
        <f>tandem!C$13*tandem!C$3*LN((M$31-C15)/tandem!C$14+1)</f>
        <v>0.71943971524536732</v>
      </c>
      <c r="F15" s="2">
        <f t="shared" si="1"/>
        <v>1.216455484919555</v>
      </c>
      <c r="G15" s="2">
        <f t="shared" si="2"/>
        <v>0.24</v>
      </c>
      <c r="H15" s="2">
        <f t="shared" si="3"/>
        <v>0.24</v>
      </c>
      <c r="I15" s="2">
        <f>tandem!C$8-tandem!C$7*(EXP(G15/tandem!C$6/tandem!C$3)-1)</f>
        <v>0.99989423794561616</v>
      </c>
      <c r="J15" s="2">
        <f>tandem!C$15-tandem!C$14*(EXP(H15/tandem!C$13/tandem!C$3)-1)</f>
        <v>0.99999999442379439</v>
      </c>
      <c r="L15">
        <f>M4</f>
        <v>0.5</v>
      </c>
      <c r="M15" s="1">
        <f>L15*I0_1_mA</f>
        <v>5.0000000000000001E-9</v>
      </c>
    </row>
    <row r="16" spans="1:13" x14ac:dyDescent="0.2">
      <c r="A16">
        <v>0.26</v>
      </c>
      <c r="B16">
        <f t="shared" si="0"/>
        <v>0.82719360599183045</v>
      </c>
      <c r="C16" s="2">
        <f t="shared" si="4"/>
        <v>0.82719360599183045</v>
      </c>
      <c r="D16" s="2">
        <f>tandem!C$6*tandem!C$3*LN((M$29-C16)/tandem!C$7+1)</f>
        <v>0.49719453905679134</v>
      </c>
      <c r="E16" s="2">
        <f>tandem!C$13*tandem!C$3*LN((M$31-C16)/tandem!C$14+1)</f>
        <v>0.7197718940575264</v>
      </c>
      <c r="F16" s="2">
        <f t="shared" si="1"/>
        <v>1.2169664331143177</v>
      </c>
      <c r="G16" s="2">
        <f t="shared" si="2"/>
        <v>0.26</v>
      </c>
      <c r="H16" s="2">
        <f t="shared" si="3"/>
        <v>0.26</v>
      </c>
      <c r="I16" s="2">
        <f>tandem!C$8-tandem!C$7*(EXP(G16/tandem!C$6/tandem!C$3)-1)</f>
        <v>0.99977106960394913</v>
      </c>
      <c r="J16" s="2">
        <f>tandem!C$15-tandem!C$14*(EXP(H16/tandem!C$13/tandem!C$3)-1)</f>
        <v>0.99999998210696028</v>
      </c>
      <c r="L16">
        <f>-M3</f>
        <v>-0.5</v>
      </c>
      <c r="M16" s="1">
        <f>L16*I0_2_mA</f>
        <v>-4.9999999999999999E-13</v>
      </c>
    </row>
    <row r="17" spans="1:13" x14ac:dyDescent="0.2">
      <c r="A17">
        <v>0.28000000000000003</v>
      </c>
      <c r="B17">
        <f t="shared" si="0"/>
        <v>0.81194597592455509</v>
      </c>
      <c r="C17" s="2">
        <f t="shared" si="4"/>
        <v>0.81194597592455509</v>
      </c>
      <c r="D17" s="2">
        <f>tandem!C$6*tandem!C$3*LN((M$29-C17)/tandem!C$7+1)</f>
        <v>0.49737565708782061</v>
      </c>
      <c r="E17" s="2">
        <f>tandem!C$13*tandem!C$3*LN((M$31-C17)/tandem!C$14+1)</f>
        <v>0.72010644929575407</v>
      </c>
      <c r="F17" s="2">
        <f t="shared" si="1"/>
        <v>1.2174821063835748</v>
      </c>
      <c r="G17" s="2">
        <f t="shared" si="2"/>
        <v>0.28000000000000003</v>
      </c>
      <c r="H17" s="2">
        <f t="shared" si="3"/>
        <v>0.28000000000000003</v>
      </c>
      <c r="I17" s="2">
        <f>tandem!C$8-tandem!C$7*(EXP(G17/tandem!C$6/tandem!C$3)-1)</f>
        <v>0.9995044686933634</v>
      </c>
      <c r="J17" s="2">
        <f>tandem!C$15-tandem!C$14*(EXP(H17/tandem!C$13/tandem!C$3)-1)</f>
        <v>0.99999995544686926</v>
      </c>
      <c r="L17" t="s">
        <v>15</v>
      </c>
      <c r="M17">
        <f>SUM(M13:M16)</f>
        <v>1.0000000049994999</v>
      </c>
    </row>
    <row r="18" spans="1:13" x14ac:dyDescent="0.2">
      <c r="A18">
        <v>0.3</v>
      </c>
      <c r="B18">
        <f t="shared" si="0"/>
        <v>0.79639032329768833</v>
      </c>
      <c r="C18" s="2">
        <f t="shared" si="4"/>
        <v>0.79639032329768833</v>
      </c>
      <c r="D18" s="2">
        <f>tandem!C$6*tandem!C$3*LN((M$29-C18)/tandem!C$7+1)</f>
        <v>0.49755913793408163</v>
      </c>
      <c r="E18" s="2">
        <f>tandem!C$13*tandem!C$3*LN((M$31-C18)/tandem!C$14+1)</f>
        <v>0.72044336713607326</v>
      </c>
      <c r="F18" s="2">
        <f t="shared" si="1"/>
        <v>1.2180025050701548</v>
      </c>
      <c r="G18" s="2">
        <f t="shared" si="2"/>
        <v>0.3</v>
      </c>
      <c r="H18" s="2">
        <f t="shared" si="3"/>
        <v>0.3</v>
      </c>
      <c r="I18" s="2">
        <f>tandem!C$8-tandem!C$7*(EXP(G18/tandem!C$6/tandem!C$3)-1)</f>
        <v>0.9989274044529648</v>
      </c>
      <c r="J18" s="2">
        <f>tandem!C$15-tandem!C$14*(EXP(H18/tandem!C$13/tandem!C$3)-1)</f>
        <v>0.99999989774044518</v>
      </c>
      <c r="L18" s="1" t="s">
        <v>12</v>
      </c>
      <c r="M18" s="4">
        <f>M17/Ip_mA</f>
        <v>0.50000000249974996</v>
      </c>
    </row>
    <row r="19" spans="1:13" x14ac:dyDescent="0.2">
      <c r="A19">
        <v>0.32</v>
      </c>
      <c r="B19">
        <f t="shared" si="0"/>
        <v>0.78052042564276825</v>
      </c>
      <c r="C19" s="2">
        <f t="shared" si="4"/>
        <v>0.78052042564276825</v>
      </c>
      <c r="D19" s="2">
        <f>tandem!C$6*tandem!C$3*LN((M$29-C19)/tandem!C$7+1)</f>
        <v>0.49774499541417644</v>
      </c>
      <c r="E19" s="2">
        <f>tandem!C$13*tandem!C$3*LN((M$31-C19)/tandem!C$14+1)</f>
        <v>0.72078263340645088</v>
      </c>
      <c r="F19" s="2">
        <f t="shared" si="1"/>
        <v>1.2185276288206273</v>
      </c>
      <c r="G19" s="2">
        <f t="shared" si="2"/>
        <v>0.32</v>
      </c>
      <c r="H19" s="2">
        <f t="shared" si="3"/>
        <v>0.32</v>
      </c>
      <c r="I19" s="2">
        <f>tandem!C$8-tandem!C$7*(EXP(G19/tandem!C$6/tandem!C$3)-1)</f>
        <v>0.99767833468491707</v>
      </c>
      <c r="J19" s="2">
        <f>tandem!C$15-tandem!C$14*(EXP(H19/tandem!C$13/tandem!C$3)-1)</f>
        <v>0.99999977283346841</v>
      </c>
    </row>
    <row r="20" spans="1:13" x14ac:dyDescent="0.2">
      <c r="A20">
        <v>0.34</v>
      </c>
      <c r="B20">
        <f t="shared" si="0"/>
        <v>0.76432993478913136</v>
      </c>
      <c r="C20" s="2">
        <f t="shared" si="4"/>
        <v>0.76432993478913136</v>
      </c>
      <c r="D20" s="2">
        <f>tandem!C$6*tandem!C$3*LN((M$29-C20)/tandem!C$7+1)</f>
        <v>0.49793324298886016</v>
      </c>
      <c r="E20" s="2">
        <f>tandem!C$13*tandem!C$3*LN((M$31-C20)/tandem!C$14+1)</f>
        <v>0.72112423359659494</v>
      </c>
      <c r="F20" s="2">
        <f t="shared" si="1"/>
        <v>1.2190574765854552</v>
      </c>
      <c r="G20" s="2">
        <f t="shared" si="2"/>
        <v>0.34</v>
      </c>
      <c r="H20" s="2">
        <f t="shared" si="3"/>
        <v>0.34</v>
      </c>
      <c r="I20" s="2">
        <f>tandem!C$8-tandem!C$7*(EXP(G20/tandem!C$6/tandem!C$3)-1)</f>
        <v>0.99497469239307557</v>
      </c>
      <c r="J20" s="2">
        <f>tandem!C$15-tandem!C$14*(EXP(H20/tandem!C$13/tandem!C$3)-1)</f>
        <v>0.99999950246923919</v>
      </c>
    </row>
    <row r="21" spans="1:13" x14ac:dyDescent="0.2">
      <c r="A21">
        <v>0.36</v>
      </c>
      <c r="B21">
        <f t="shared" si="0"/>
        <v>0.74781237432456016</v>
      </c>
      <c r="C21" s="2">
        <f t="shared" si="4"/>
        <v>0.74781237432456016</v>
      </c>
      <c r="D21" s="2">
        <f>tandem!C$6*tandem!C$3*LN((M$29-C21)/tandem!C$7+1)</f>
        <v>0.49812389375156285</v>
      </c>
      <c r="E21" s="2">
        <f>tandem!C$13*tandem!C$3*LN((M$31-C21)/tandem!C$14+1)</f>
        <v>0.72146815286788768</v>
      </c>
      <c r="F21" s="2">
        <f t="shared" si="1"/>
        <v>1.2195920466194505</v>
      </c>
      <c r="G21" s="2">
        <f t="shared" si="2"/>
        <v>0.36</v>
      </c>
      <c r="H21" s="2">
        <f t="shared" si="3"/>
        <v>0.36</v>
      </c>
      <c r="I21" s="2">
        <f>tandem!C$8-tandem!C$7*(EXP(G21/tandem!C$6/tandem!C$3)-1)</f>
        <v>0.98912259203069253</v>
      </c>
      <c r="J21" s="2">
        <f>tandem!C$15-tandem!C$14*(EXP(H21/tandem!C$13/tandem!C$3)-1)</f>
        <v>0.99999891725920298</v>
      </c>
      <c r="L21" t="s">
        <v>25</v>
      </c>
      <c r="M21" s="2">
        <f>Ip_1_mA-I0_1_mA*(EXP(tandem!E29/n_1)-1)</f>
        <v>0.99999918269779531</v>
      </c>
    </row>
    <row r="22" spans="1:13" x14ac:dyDescent="0.2">
      <c r="A22">
        <v>0.38</v>
      </c>
      <c r="B22">
        <f t="shared" si="0"/>
        <v>0.73096113700463139</v>
      </c>
      <c r="C22" s="2">
        <f t="shared" si="4"/>
        <v>0.73096113700463139</v>
      </c>
      <c r="D22" s="2">
        <f>tandem!C$6*tandem!C$3*LN((M$29-C22)/tandem!C$7+1)</f>
        <v>0.49831696041908902</v>
      </c>
      <c r="E22" s="2">
        <f>tandem!C$13*tandem!C$3*LN((M$31-C22)/tandem!C$14+1)</f>
        <v>0.7218143760634439</v>
      </c>
      <c r="F22" s="2">
        <f t="shared" si="1"/>
        <v>1.2201313364825328</v>
      </c>
      <c r="G22" s="2">
        <f t="shared" si="2"/>
        <v>0.38</v>
      </c>
      <c r="H22" s="2">
        <f t="shared" si="3"/>
        <v>0.38</v>
      </c>
      <c r="I22" s="2">
        <f>tandem!C$8-tandem!C$7*(EXP(G22/tandem!C$6/tandem!C$3)-1)</f>
        <v>0.97645557659202031</v>
      </c>
      <c r="J22" s="2">
        <f>tandem!C$15-tandem!C$14*(EXP(H22/tandem!C$13/tandem!C$3)-1)</f>
        <v>0.9999976505576591</v>
      </c>
      <c r="L22" t="s">
        <v>26</v>
      </c>
      <c r="M22" s="2">
        <f>Ip_2_mA-I0_2_mA*(EXP(-tandem!E29/n_2)-1)</f>
        <v>1.0000000050004878</v>
      </c>
    </row>
    <row r="23" spans="1:13" x14ac:dyDescent="0.2">
      <c r="A23">
        <v>0.4</v>
      </c>
      <c r="B23">
        <f t="shared" si="0"/>
        <v>0.71376948210973135</v>
      </c>
      <c r="C23" s="2">
        <f t="shared" si="4"/>
        <v>0.71376948210973135</v>
      </c>
      <c r="D23" s="2">
        <f>tandem!C$6*tandem!C$3*LN((M$29-C23)/tandem!C$7+1)</f>
        <v>0.49851245532250871</v>
      </c>
      <c r="E23" s="2">
        <f>tandem!C$13*tandem!C$3*LN((M$31-C23)/tandem!C$14+1)</f>
        <v>0.7221628877182793</v>
      </c>
      <c r="F23" s="2">
        <f t="shared" si="1"/>
        <v>1.220675343040788</v>
      </c>
      <c r="G23" s="2">
        <f t="shared" si="2"/>
        <v>0.4</v>
      </c>
      <c r="H23" s="2">
        <f t="shared" si="3"/>
        <v>0.4</v>
      </c>
      <c r="I23" s="2">
        <f>tandem!C$8-tandem!C$7*(EXP(G23/tandem!C$6/tandem!C$3)-1)</f>
        <v>0.94903750954126653</v>
      </c>
      <c r="J23" s="2">
        <f>tandem!C$15-tandem!C$14*(EXP(H23/tandem!C$13/tandem!C$3)-1)</f>
        <v>0.99999490875095398</v>
      </c>
    </row>
    <row r="24" spans="1:13" x14ac:dyDescent="0.2">
      <c r="A24">
        <v>0.42</v>
      </c>
      <c r="B24">
        <f t="shared" si="0"/>
        <v>0.69623053274867686</v>
      </c>
      <c r="C24" s="2">
        <f t="shared" si="4"/>
        <v>0.69623053274867686</v>
      </c>
      <c r="D24" s="2">
        <f>tandem!C$6*tandem!C$3*LN((M$29-C24)/tandem!C$7+1)</f>
        <v>0.49871039039825388</v>
      </c>
      <c r="E24" s="2">
        <f>tandem!C$13*tandem!C$3*LN((M$31-C24)/tandem!C$14+1)</f>
        <v>0.72251367206957529</v>
      </c>
      <c r="F24" s="2">
        <f t="shared" si="1"/>
        <v>1.2212240624678292</v>
      </c>
      <c r="G24" s="2">
        <f t="shared" si="2"/>
        <v>0.42</v>
      </c>
      <c r="H24" s="2">
        <f t="shared" si="3"/>
        <v>0.42</v>
      </c>
      <c r="I24" s="2">
        <f>tandem!C$8-tandem!C$7*(EXP(G24/tandem!C$6/tandem!C$3)-1)</f>
        <v>0.88969042778872098</v>
      </c>
      <c r="J24" s="2">
        <f>tandem!C$15-tandem!C$14*(EXP(H24/tandem!C$13/tandem!C$3)-1)</f>
        <v>0.99998897404277876</v>
      </c>
    </row>
    <row r="25" spans="1:13" x14ac:dyDescent="0.2">
      <c r="A25">
        <v>0.44</v>
      </c>
      <c r="B25">
        <f t="shared" si="0"/>
        <v>0.6783372731078674</v>
      </c>
      <c r="C25" s="2">
        <f t="shared" si="4"/>
        <v>0.6783372731078674</v>
      </c>
      <c r="D25" s="2">
        <f>tandem!C$6*tandem!C$3*LN((M$29-C25)/tandem!C$7+1)</f>
        <v>0.49891077717943216</v>
      </c>
      <c r="E25" s="2">
        <f>tandem!C$13*tandem!C$3*LN((M$31-C25)/tandem!C$14+1)</f>
        <v>0.72286671306702832</v>
      </c>
      <c r="F25" s="2">
        <f t="shared" si="1"/>
        <v>1.2217774902464604</v>
      </c>
      <c r="G25" s="2">
        <f t="shared" si="2"/>
        <v>0.44</v>
      </c>
      <c r="H25" s="2">
        <f t="shared" si="3"/>
        <v>0.44</v>
      </c>
      <c r="I25" s="2">
        <f>tandem!C$8-tandem!C$7*(EXP(G25/tandem!C$6/tandem!C$3)-1)</f>
        <v>0.7612322069366243</v>
      </c>
      <c r="J25" s="2">
        <f>tandem!C$15-tandem!C$14*(EXP(H25/tandem!C$13/tandem!C$3)-1)</f>
        <v>0.99997612822069348</v>
      </c>
    </row>
    <row r="26" spans="1:13" x14ac:dyDescent="0.2">
      <c r="A26">
        <v>0.46</v>
      </c>
      <c r="B26">
        <f t="shared" si="0"/>
        <v>0.66008254564486712</v>
      </c>
      <c r="C26" s="2">
        <f t="shared" si="4"/>
        <v>0.66008254564486712</v>
      </c>
      <c r="D26" s="2">
        <f>tandem!C$6*tandem!C$3*LN((M$29-C26)/tandem!C$7+1)</f>
        <v>0.49911362678737137</v>
      </c>
      <c r="E26" s="2">
        <f>tandem!C$13*tandem!C$3*LN((M$31-C26)/tandem!C$14+1)</f>
        <v>0.72322199438326962</v>
      </c>
      <c r="F26" s="2">
        <f t="shared" si="1"/>
        <v>1.2223356211706409</v>
      </c>
      <c r="G26" s="2">
        <f t="shared" si="2"/>
        <v>0.46</v>
      </c>
      <c r="H26" s="2">
        <f t="shared" si="3"/>
        <v>0.46</v>
      </c>
      <c r="I26" s="2">
        <f>tandem!C$8-tandem!C$7*(EXP(G26/tandem!C$6/tandem!C$3)-1)</f>
        <v>0.4831812225042138</v>
      </c>
      <c r="J26" s="2">
        <f>tandem!C$15-tandem!C$14*(EXP(H26/tandem!C$13/tandem!C$3)-1)</f>
        <v>0.99994832312225035</v>
      </c>
      <c r="M26" s="2"/>
    </row>
    <row r="27" spans="1:13" x14ac:dyDescent="0.2">
      <c r="A27">
        <v>0.48</v>
      </c>
      <c r="B27">
        <f t="shared" si="0"/>
        <v>0.64145904822529087</v>
      </c>
      <c r="C27" s="2">
        <f t="shared" si="4"/>
        <v>0.64145904822529087</v>
      </c>
      <c r="D27" s="2">
        <f>tandem!C$6*tandem!C$3*LN((M$29-C27)/tandem!C$7+1)</f>
        <v>0.49931894992340836</v>
      </c>
      <c r="E27" s="2">
        <f>tandem!C$13*tandem!C$3*LN((M$31-C27)/tandem!C$14+1)</f>
        <v>0.72357949942434174</v>
      </c>
      <c r="F27" s="2">
        <f t="shared" si="1"/>
        <v>1.2228984493477502</v>
      </c>
      <c r="G27" s="2">
        <f t="shared" si="2"/>
        <v>0.48</v>
      </c>
      <c r="H27" s="2">
        <f t="shared" si="3"/>
        <v>0.48</v>
      </c>
      <c r="I27" s="2">
        <f>tandem!C$8-tandem!C$7*(EXP(G27/tandem!C$6/tandem!C$3)-1)</f>
        <v>-0.11866698488180782</v>
      </c>
      <c r="J27" s="2">
        <f>tandem!C$15-tandem!C$14*(EXP(H27/tandem!C$13/tandem!C$3)-1)</f>
        <v>0.99988813830151169</v>
      </c>
      <c r="L27" t="s">
        <v>51</v>
      </c>
      <c r="M27">
        <v>1</v>
      </c>
    </row>
    <row r="28" spans="1:13" x14ac:dyDescent="0.2">
      <c r="A28">
        <v>0.5</v>
      </c>
      <c r="B28">
        <f t="shared" si="0"/>
        <v>0.62245933120185448</v>
      </c>
      <c r="C28" s="2">
        <f t="shared" si="4"/>
        <v>0.62245933120185448</v>
      </c>
      <c r="D28" s="2">
        <f>tandem!C$6*tandem!C$3*LN((M$29-C28)/tandem!C$7+1)</f>
        <v>0.49952675686093279</v>
      </c>
      <c r="E28" s="2">
        <f>tandem!C$13*tandem!C$3*LN((M$31-C28)/tandem!C$14+1)</f>
        <v>0.72393921134022032</v>
      </c>
      <c r="F28" s="2">
        <f t="shared" si="1"/>
        <v>1.2234659682011531</v>
      </c>
      <c r="G28" s="2">
        <f t="shared" si="2"/>
        <v>0.5</v>
      </c>
      <c r="H28" s="2">
        <f t="shared" si="3"/>
        <v>0.5</v>
      </c>
      <c r="I28" s="2">
        <f>tandem!C$8-tandem!C$7*(EXP(G28/tandem!C$6/tandem!C$3)-1)</f>
        <v>-1.421382260187086</v>
      </c>
      <c r="J28" s="2">
        <f>tandem!C$15-tandem!C$14*(EXP(H28/tandem!C$13/tandem!C$3)-1)</f>
        <v>0.99975786677398115</v>
      </c>
      <c r="L28" t="s">
        <v>29</v>
      </c>
      <c r="M28" s="2">
        <f>tandem!C3*M26</f>
        <v>0</v>
      </c>
    </row>
    <row r="29" spans="1:13" x14ac:dyDescent="0.2">
      <c r="A29">
        <v>0.52</v>
      </c>
      <c r="B29">
        <f t="shared" si="0"/>
        <v>0.6030757944344155</v>
      </c>
      <c r="C29" s="2">
        <f t="shared" si="4"/>
        <v>0.6030757944344155</v>
      </c>
      <c r="D29" s="2">
        <f>tandem!C$6*tandem!C$3*LN((M$29-C29)/tandem!C$7+1)</f>
        <v>0.49973705743769981</v>
      </c>
      <c r="E29" s="2">
        <f>tandem!C$13*tandem!C$3*LN((M$31-C29)/tandem!C$14+1)</f>
        <v>0.72430111303536748</v>
      </c>
      <c r="F29" s="2">
        <f t="shared" si="1"/>
        <v>1.2240381704730674</v>
      </c>
      <c r="G29" s="2">
        <f t="shared" si="2"/>
        <v>0.52</v>
      </c>
      <c r="H29" s="2">
        <f t="shared" si="3"/>
        <v>0.52</v>
      </c>
      <c r="I29" s="2">
        <f>tandem!C$8-tandem!C$7*(EXP(G29/tandem!C$6/tandem!C$3)-1)</f>
        <v>-4.241141574391083</v>
      </c>
      <c r="J29" s="2">
        <f>tandem!C$15-tandem!C$14*(EXP(H29/tandem!C$13/tandem!C$3)-1)</f>
        <v>0.99947589084256072</v>
      </c>
      <c r="L29" t="s">
        <v>52</v>
      </c>
      <c r="M29">
        <v>3</v>
      </c>
    </row>
    <row r="30" spans="1:13" x14ac:dyDescent="0.2">
      <c r="A30">
        <v>0.54</v>
      </c>
      <c r="B30">
        <f t="shared" si="0"/>
        <v>0.58330068424981629</v>
      </c>
      <c r="C30" s="2">
        <f t="shared" si="4"/>
        <v>0.58330068424981629</v>
      </c>
      <c r="D30" s="2">
        <f>tandem!C$6*tandem!C$3*LN((M$29-C30)/tandem!C$7+1)</f>
        <v>0.49994986104842298</v>
      </c>
      <c r="E30" s="2">
        <f>tandem!C$13*tandem!C$3*LN((M$31-C30)/tandem!C$14+1)</f>
        <v>0.72466518717930439</v>
      </c>
      <c r="F30" s="2">
        <f t="shared" si="1"/>
        <v>1.2246150482277274</v>
      </c>
      <c r="G30" s="2">
        <f t="shared" si="2"/>
        <v>0.54</v>
      </c>
      <c r="H30" s="2">
        <f t="shared" si="3"/>
        <v>0.54</v>
      </c>
      <c r="I30" s="2">
        <f>tandem!C$8-tandem!C$7*(EXP(G30/tandem!C$6/tandem!C$3)-1)</f>
        <v>-10.344580092970567</v>
      </c>
      <c r="J30" s="2">
        <f>tandem!C$15-tandem!C$14*(EXP(H30/tandem!C$13/tandem!C$3)-1)</f>
        <v>0.99886554699070285</v>
      </c>
      <c r="L30" t="s">
        <v>4</v>
      </c>
      <c r="M30" s="2">
        <v>1</v>
      </c>
    </row>
    <row r="31" spans="1:13" x14ac:dyDescent="0.2">
      <c r="A31">
        <v>0.56000000000000005</v>
      </c>
      <c r="B31">
        <f t="shared" si="0"/>
        <v>0.56312609034031147</v>
      </c>
      <c r="C31" s="2">
        <f t="shared" si="4"/>
        <v>0.56312609034031147</v>
      </c>
      <c r="D31" s="2">
        <f>tandem!C$6*tandem!C$3*LN((M$29-C31)/tandem!C$7+1)</f>
        <v>0.50016517663765858</v>
      </c>
      <c r="E31" s="2">
        <f>tandem!C$13*tandem!C$3*LN((M$31-C31)/tandem!C$14+1)</f>
        <v>0.72503141621719136</v>
      </c>
      <c r="F31" s="2">
        <f t="shared" si="1"/>
        <v>1.2251965928548501</v>
      </c>
      <c r="G31" s="2">
        <f t="shared" si="2"/>
        <v>0.56000000000000005</v>
      </c>
      <c r="H31" s="2">
        <f t="shared" si="3"/>
        <v>0.56000000000000005</v>
      </c>
      <c r="I31" s="2">
        <f>tandem!C$8-tandem!C$7*(EXP(G31/tandem!C$6/tandem!C$3)-1)</f>
        <v>-23.555623164068962</v>
      </c>
      <c r="J31" s="2">
        <f>tandem!C$15-tandem!C$14*(EXP(H31/tandem!C$13/tandem!C$3)-1)</f>
        <v>0.99754444268359299</v>
      </c>
      <c r="L31" t="s">
        <v>53</v>
      </c>
      <c r="M31">
        <v>2</v>
      </c>
    </row>
    <row r="32" spans="1:13" x14ac:dyDescent="0.2">
      <c r="A32">
        <v>0.57999999999999996</v>
      </c>
      <c r="B32">
        <f t="shared" si="0"/>
        <v>0.54254394259933914</v>
      </c>
      <c r="C32" s="2">
        <f t="shared" si="4"/>
        <v>0.54254394259933914</v>
      </c>
      <c r="D32" s="2">
        <f>tandem!C$6*tandem!C$3*LN((M$29-C32)/tandem!C$7+1)</f>
        <v>0.50038301269299312</v>
      </c>
      <c r="E32" s="2">
        <f>tandem!C$13*tandem!C$3*LN((M$31-C32)/tandem!C$14+1)</f>
        <v>0.72539978238040281</v>
      </c>
      <c r="F32" s="2">
        <f t="shared" si="1"/>
        <v>1.2257827950733959</v>
      </c>
      <c r="G32" s="2">
        <f t="shared" si="2"/>
        <v>0.57999999999999996</v>
      </c>
      <c r="H32" s="2">
        <f t="shared" si="3"/>
        <v>0.57999999999999996</v>
      </c>
      <c r="I32" s="2">
        <f>tandem!C$8-tandem!C$7*(EXP(G32/tandem!C$6/tandem!C$3)-1)</f>
        <v>-52.151251430844106</v>
      </c>
      <c r="J32" s="2">
        <f>tandem!C$15-tandem!C$14*(EXP(H32/tandem!C$13/tandem!C$3)-1)</f>
        <v>0.99468487985691545</v>
      </c>
      <c r="L32" t="s">
        <v>19</v>
      </c>
      <c r="M32" s="2">
        <v>1</v>
      </c>
    </row>
    <row r="33" spans="1:10" x14ac:dyDescent="0.2">
      <c r="A33">
        <v>0.6</v>
      </c>
      <c r="B33">
        <f t="shared" si="0"/>
        <v>0.52154600789337047</v>
      </c>
      <c r="C33" s="2">
        <f t="shared" si="4"/>
        <v>0.52154600789337047</v>
      </c>
      <c r="D33" s="2">
        <f>tandem!C$6*tandem!C$3*LN((M$29-C33)/tandem!C$7+1)</f>
        <v>0.50060337723854464</v>
      </c>
      <c r="E33" s="2">
        <f>tandem!C$13*tandem!C$3*LN((M$31-C33)/tandem!C$14+1)</f>
        <v>0.72577026769708575</v>
      </c>
      <c r="F33" s="2">
        <f t="shared" si="1"/>
        <v>1.2263736449356304</v>
      </c>
      <c r="G33" s="2">
        <f t="shared" si="2"/>
        <v>0.6</v>
      </c>
      <c r="H33" s="2">
        <f t="shared" si="3"/>
        <v>0.6</v>
      </c>
      <c r="I33" s="2">
        <f>tandem!C$8-tandem!C$7*(EXP(G33/tandem!C$6/tandem!C$3)-1)</f>
        <v>-114.04719345229505</v>
      </c>
      <c r="J33" s="2">
        <f>tandem!C$15-tandem!C$14*(EXP(H33/tandem!C$13/tandem!C$3)-1)</f>
        <v>0.98849528565477041</v>
      </c>
    </row>
    <row r="34" spans="1:10" x14ac:dyDescent="0.2">
      <c r="A34">
        <v>0.62</v>
      </c>
      <c r="B34">
        <f t="shared" si="0"/>
        <v>0.5001238867685468</v>
      </c>
      <c r="C34" s="2">
        <f t="shared" si="4"/>
        <v>0.5001238867685468</v>
      </c>
      <c r="D34" s="2">
        <f>tandem!C$6*tandem!C$3*LN((M$29-C34)/tandem!C$7+1)</f>
        <v>0.50082627782878786</v>
      </c>
      <c r="E34" s="2">
        <f>tandem!C$13*tandem!C$3*LN((M$31-C34)/tandem!C$14+1)</f>
        <v>0.72614285400269052</v>
      </c>
      <c r="F34" s="2">
        <f t="shared" si="1"/>
        <v>1.2269691318314784</v>
      </c>
      <c r="G34" s="2">
        <f t="shared" si="2"/>
        <v>0.62</v>
      </c>
      <c r="H34" s="2">
        <f t="shared" si="3"/>
        <v>0.62</v>
      </c>
      <c r="I34" s="2">
        <f>tandem!C$8-tandem!C$7*(EXP(G34/tandem!C$6/tandem!C$3)-1)</f>
        <v>-248.0224851640744</v>
      </c>
      <c r="J34" s="2">
        <f>tandem!C$15-tandem!C$14*(EXP(H34/tandem!C$13/tandem!C$3)-1)</f>
        <v>0.97509775648359243</v>
      </c>
    </row>
    <row r="35" spans="1:10" x14ac:dyDescent="0.2">
      <c r="A35">
        <v>0.64</v>
      </c>
      <c r="B35">
        <f t="shared" ref="B35:B53" si="6">1-(EXP(A35)-1)/(EXP(1)-1)</f>
        <v>0.47826901009078626</v>
      </c>
      <c r="C35" s="2">
        <f t="shared" si="4"/>
        <v>0.47826901009078626</v>
      </c>
      <c r="D35" s="2">
        <f>tandem!C$6*tandem!C$3*LN((M$29-C35)/tandem!C$7+1)</f>
        <v>0.50105172154271405</v>
      </c>
      <c r="E35" s="2">
        <f>tandem!C$13*tandem!C$3*LN((M$31-C35)/tandem!C$14+1)</f>
        <v>0.72651752295046146</v>
      </c>
      <c r="F35" s="2">
        <f t="shared" si="1"/>
        <v>1.2275692444931754</v>
      </c>
      <c r="G35" s="2">
        <f t="shared" si="2"/>
        <v>0.64</v>
      </c>
      <c r="H35" s="2">
        <f t="shared" si="3"/>
        <v>0.64</v>
      </c>
      <c r="I35" s="2">
        <f>tandem!C$8-tandem!C$7*(EXP(G35/tandem!C$6/tandem!C$3)-1)</f>
        <v>-538.01530542094622</v>
      </c>
      <c r="J35" s="2">
        <f>tandem!C$15-tandem!C$14*(EXP(H35/tandem!C$13/tandem!C$3)-1)</f>
        <v>0.94609847445790529</v>
      </c>
    </row>
    <row r="36" spans="1:10" x14ac:dyDescent="0.2">
      <c r="A36">
        <v>0.66</v>
      </c>
      <c r="B36">
        <f t="shared" si="6"/>
        <v>0.45597263561801538</v>
      </c>
      <c r="C36" s="2">
        <f t="shared" si="4"/>
        <v>0.45597263561801538</v>
      </c>
      <c r="D36" s="2">
        <f>tandem!C$6*tandem!C$3*LN((M$29-C36)/tandem!C$7+1)</f>
        <v>0.50127971497833401</v>
      </c>
      <c r="E36" s="2">
        <f>tandem!C$13*tandem!C$3*LN((M$31-C36)/tandem!C$14+1)</f>
        <v>0.7268942560218794</v>
      </c>
      <c r="F36" s="2">
        <f t="shared" ref="F36:F53" si="7">D36+E36</f>
        <v>1.2281739710002135</v>
      </c>
      <c r="G36" s="2">
        <f t="shared" si="2"/>
        <v>0.66</v>
      </c>
      <c r="H36" s="2">
        <f t="shared" si="3"/>
        <v>0.66</v>
      </c>
      <c r="I36" s="2">
        <f>tandem!C$8-tandem!C$7*(EXP(G36/tandem!C$6/tandem!C$3)-1)</f>
        <v>-1165.7119107132824</v>
      </c>
      <c r="J36" s="2">
        <f>tandem!C$15-tandem!C$14*(EXP(H36/tandem!C$13/tandem!C$3)-1)</f>
        <v>0.88332881392867169</v>
      </c>
    </row>
    <row r="37" spans="1:10" x14ac:dyDescent="0.2">
      <c r="A37">
        <v>0.68</v>
      </c>
      <c r="B37">
        <f t="shared" si="6"/>
        <v>0.43322584450315627</v>
      </c>
      <c r="C37" s="2">
        <f t="shared" si="4"/>
        <v>0.43322584450315627</v>
      </c>
      <c r="D37" s="2">
        <f>tandem!C$6*tandem!C$3*LN((M$29-C37)/tandem!C$7+1)</f>
        <v>0.50151026424753387</v>
      </c>
      <c r="E37" s="2">
        <f>tandem!C$13*tandem!C$3*LN((M$31-C37)/tandem!C$14+1)</f>
        <v>0.72727303453704217</v>
      </c>
      <c r="F37" s="2">
        <f t="shared" si="7"/>
        <v>1.2287832987845762</v>
      </c>
      <c r="G37" s="2">
        <f t="shared" si="2"/>
        <v>0.68</v>
      </c>
      <c r="H37" s="2">
        <f t="shared" si="3"/>
        <v>0.68</v>
      </c>
      <c r="I37" s="2">
        <f>tandem!C$8-tandem!C$7*(EXP(G37/tandem!C$6/tandem!C$3)-1)</f>
        <v>-2524.3766802290247</v>
      </c>
      <c r="J37" s="2">
        <f>tandem!C$15-tandem!C$14*(EXP(H37/tandem!C$13/tandem!C$3)-1)</f>
        <v>0.74746233697709741</v>
      </c>
    </row>
    <row r="38" spans="1:10" x14ac:dyDescent="0.2">
      <c r="A38">
        <v>0.70000000000000007</v>
      </c>
      <c r="B38">
        <f t="shared" si="6"/>
        <v>0.41001953772646837</v>
      </c>
      <c r="C38" s="2">
        <f t="shared" si="4"/>
        <v>0.41001953772646837</v>
      </c>
      <c r="D38" s="2">
        <f>tandem!C$6*tandem!C$3*LN((M$29-C38)/tandem!C$7+1)</f>
        <v>0.50174337497129184</v>
      </c>
      <c r="E38" s="2">
        <f>tandem!C$13*tandem!C$3*LN((M$31-C38)/tandem!C$14+1)</f>
        <v>0.72765383966497521</v>
      </c>
      <c r="F38" s="2">
        <f t="shared" si="7"/>
        <v>1.2293972146362671</v>
      </c>
      <c r="G38" s="2">
        <f t="shared" si="2"/>
        <v>0.70000000000000007</v>
      </c>
      <c r="H38" s="2">
        <f t="shared" si="3"/>
        <v>0.70000000000000007</v>
      </c>
      <c r="I38" s="2">
        <f>tandem!C$8-tandem!C$7*(EXP(G38/tandem!C$6/tandem!C$3)-1)</f>
        <v>-5465.2400533287664</v>
      </c>
      <c r="J38" s="2">
        <f>tandem!C$15-tandem!C$14*(EXP(H38/tandem!C$13/tandem!C$3)-1)</f>
        <v>0.45337599966712328</v>
      </c>
    </row>
    <row r="39" spans="1:10" x14ac:dyDescent="0.2">
      <c r="A39">
        <v>0.72</v>
      </c>
      <c r="B39">
        <f t="shared" si="6"/>
        <v>0.3863444324558194</v>
      </c>
      <c r="C39" s="2">
        <f t="shared" si="4"/>
        <v>0.3863444324558194</v>
      </c>
      <c r="D39" s="2">
        <f>tandem!C$6*tandem!C$3*LN((M$29-C39)/tandem!C$7+1)</f>
        <v>0.50197905227526418</v>
      </c>
      <c r="E39" s="2">
        <f>tandem!C$13*tandem!C$3*LN((M$31-C39)/tandem!C$14+1)</f>
        <v>0.72803665243386273</v>
      </c>
      <c r="F39" s="2">
        <f t="shared" si="7"/>
        <v>1.2300157047091269</v>
      </c>
      <c r="G39" s="2">
        <f t="shared" si="2"/>
        <v>0.72</v>
      </c>
      <c r="H39" s="2">
        <f t="shared" si="3"/>
        <v>0.72</v>
      </c>
      <c r="I39" s="2">
        <f>tandem!C$8-tandem!C$7*(EXP(G39/tandem!C$6/tandem!C$3)-1)</f>
        <v>-11830.811291568816</v>
      </c>
      <c r="J39" s="2">
        <f>tandem!C$15-tandem!C$14*(EXP(H39/tandem!C$13/tandem!C$3)-1)</f>
        <v>-0.1831811241568817</v>
      </c>
    </row>
    <row r="40" spans="1:10" x14ac:dyDescent="0.2">
      <c r="A40">
        <v>0.74</v>
      </c>
      <c r="B40">
        <f t="shared" si="6"/>
        <v>0.36219105833342879</v>
      </c>
      <c r="C40" s="2">
        <f t="shared" si="4"/>
        <v>0.36219105833342879</v>
      </c>
      <c r="D40" s="2">
        <f>tandem!C$6*tandem!C$3*LN((M$29-C40)/tandem!C$7+1)</f>
        <v>0.50221730078574667</v>
      </c>
      <c r="E40" s="2">
        <f>tandem!C$13*tandem!C$3*LN((M$31-C40)/tandem!C$14+1)</f>
        <v>0.72842145374118794</v>
      </c>
      <c r="F40" s="2">
        <f t="shared" si="7"/>
        <v>1.2306387545269346</v>
      </c>
      <c r="G40" s="2">
        <f t="shared" si="2"/>
        <v>0.74</v>
      </c>
      <c r="H40" s="2">
        <f t="shared" si="3"/>
        <v>0.74</v>
      </c>
      <c r="I40" s="2">
        <f>tandem!C$8-tandem!C$7*(EXP(G40/tandem!C$6/tandem!C$3)-1)</f>
        <v>-25609.247093705337</v>
      </c>
      <c r="J40" s="2">
        <f>tandem!C$15-tandem!C$14*(EXP(H40/tandem!C$13/tandem!C$3)-1)</f>
        <v>-1.5610247043705336</v>
      </c>
    </row>
    <row r="41" spans="1:10" x14ac:dyDescent="0.2">
      <c r="A41">
        <v>0.76</v>
      </c>
      <c r="B41">
        <f t="shared" si="6"/>
        <v>0.33754975368759832</v>
      </c>
      <c r="C41" s="2">
        <f t="shared" si="4"/>
        <v>0.33754975368759832</v>
      </c>
      <c r="D41" s="2">
        <f>tandem!C$6*tandem!C$3*LN((M$29-C41)/tandem!C$7+1)</f>
        <v>0.50245812462601991</v>
      </c>
      <c r="E41" s="2">
        <f>tandem!C$13*tandem!C$3*LN((M$31-C41)/tandem!C$14+1)</f>
        <v>0.72880822436377579</v>
      </c>
      <c r="F41" s="2">
        <f t="shared" si="7"/>
        <v>1.2312663489897957</v>
      </c>
      <c r="G41" s="2">
        <f t="shared" si="2"/>
        <v>0.76</v>
      </c>
      <c r="H41" s="2">
        <f t="shared" si="3"/>
        <v>0.76</v>
      </c>
      <c r="I41" s="2">
        <f>tandem!C$8-tandem!C$7*(EXP(G41/tandem!C$6/tandem!C$3)-1)</f>
        <v>-55433.010908197692</v>
      </c>
      <c r="J41" s="2">
        <f>tandem!C$15-tandem!C$14*(EXP(H41/tandem!C$13/tandem!C$3)-1)</f>
        <v>-4.5434010858197702</v>
      </c>
    </row>
    <row r="42" spans="1:10" x14ac:dyDescent="0.2">
      <c r="A42">
        <v>0.78</v>
      </c>
      <c r="B42">
        <f t="shared" si="6"/>
        <v>0.31241066166791442</v>
      </c>
      <c r="C42" s="2">
        <f t="shared" si="4"/>
        <v>0.31241066166791442</v>
      </c>
      <c r="D42" s="2">
        <f>tandem!C$6*tandem!C$3*LN((M$29-C42)/tandem!C$7+1)</f>
        <v>0.50270152741308316</v>
      </c>
      <c r="E42" s="2">
        <f>tandem!C$13*tandem!C$3*LN((M$31-C42)/tandem!C$14+1)</f>
        <v>0.72919694496772802</v>
      </c>
      <c r="F42" s="2">
        <f t="shared" si="7"/>
        <v>1.2318984723808111</v>
      </c>
      <c r="G42" s="2">
        <f t="shared" si="2"/>
        <v>0.78</v>
      </c>
      <c r="H42" s="2">
        <f t="shared" si="3"/>
        <v>0.78</v>
      </c>
      <c r="I42" s="2">
        <f>tandem!C$8-tandem!C$7*(EXP(G42/tandem!C$6/tandem!C$3)-1)</f>
        <v>-119987.28258573472</v>
      </c>
      <c r="J42" s="2">
        <f>tandem!C$15-tandem!C$14*(EXP(H42/tandem!C$13/tandem!C$3)-1)</f>
        <v>-10.998828253573471</v>
      </c>
    </row>
    <row r="43" spans="1:10" x14ac:dyDescent="0.2">
      <c r="A43">
        <v>0.8</v>
      </c>
      <c r="B43">
        <f t="shared" si="6"/>
        <v>0.28676372630237679</v>
      </c>
      <c r="C43" s="2">
        <f t="shared" si="4"/>
        <v>0.28676372630237679</v>
      </c>
      <c r="D43" s="2">
        <f>tandem!C$6*tandem!C$3*LN((M$29-C43)/tandem!C$7+1)</f>
        <v>0.50294751225478251</v>
      </c>
      <c r="E43" s="2">
        <f>tandem!C$13*tandem!C$3*LN((M$31-C43)/tandem!C$14+1)</f>
        <v>0.72958759611824309</v>
      </c>
      <c r="F43" s="2">
        <f t="shared" si="7"/>
        <v>1.2325351083730256</v>
      </c>
      <c r="G43" s="2">
        <f t="shared" si="2"/>
        <v>0.8</v>
      </c>
      <c r="H43" s="2">
        <f t="shared" si="3"/>
        <v>0.8</v>
      </c>
      <c r="I43" s="2">
        <f>tandem!C$8-tandem!C$7*(EXP(G43/tandem!C$6/tandem!C$3)-1)</f>
        <v>-259716.59434323502</v>
      </c>
      <c r="J43" s="2">
        <f>tandem!C$15-tandem!C$14*(EXP(H43/tandem!C$13/tandem!C$3)-1)</f>
        <v>-24.971759429323502</v>
      </c>
    </row>
    <row r="44" spans="1:10" x14ac:dyDescent="0.2">
      <c r="A44">
        <v>0.82000000000000006</v>
      </c>
      <c r="B44">
        <f t="shared" si="6"/>
        <v>0.26059868847487599</v>
      </c>
      <c r="C44" s="2">
        <f t="shared" si="4"/>
        <v>0.26059868847487599</v>
      </c>
      <c r="D44" s="2">
        <f>tandem!C$6*tandem!C$3*LN((M$29-C44)/tandem!C$7+1)</f>
        <v>0.50319608174733921</v>
      </c>
      <c r="E44" s="2">
        <f>tandem!C$13*tandem!C$3*LN((M$31-C44)/tandem!C$14+1)</f>
        <v>0.72998015828931218</v>
      </c>
      <c r="F44" s="2">
        <f t="shared" si="7"/>
        <v>1.2331762400366513</v>
      </c>
      <c r="G44" s="2">
        <f t="shared" si="2"/>
        <v>0.82000000000000006</v>
      </c>
      <c r="H44" s="2">
        <f t="shared" si="3"/>
        <v>0.82000000000000006</v>
      </c>
      <c r="I44" s="2">
        <f>tandem!C$8-tandem!C$7*(EXP(G44/tandem!C$6/tandem!C$3)-1)</f>
        <v>-562164.13277652173</v>
      </c>
      <c r="J44" s="2">
        <f>tandem!C$15-tandem!C$14*(EXP(H44/tandem!C$13/tandem!C$3)-1)</f>
        <v>-55.216513272652172</v>
      </c>
    </row>
    <row r="45" spans="1:10" x14ac:dyDescent="0.2">
      <c r="A45">
        <v>0.84</v>
      </c>
      <c r="B45">
        <f t="shared" si="6"/>
        <v>0.23390508182140923</v>
      </c>
      <c r="C45" s="2">
        <f t="shared" si="4"/>
        <v>0.23390508182140923</v>
      </c>
      <c r="D45" s="2">
        <f>tandem!C$6*tandem!C$3*LN((M$29-C45)/tandem!C$7+1)</f>
        <v>0.50344723797328106</v>
      </c>
      <c r="E45" s="2">
        <f>tandem!C$13*tandem!C$3*LN((M$31-C45)/tandem!C$14+1)</f>
        <v>0.73037461187328589</v>
      </c>
      <c r="F45" s="2">
        <f t="shared" si="7"/>
        <v>1.233821849846567</v>
      </c>
      <c r="G45" s="2">
        <f t="shared" si="2"/>
        <v>0.84</v>
      </c>
      <c r="H45" s="2">
        <f t="shared" si="3"/>
        <v>0.84</v>
      </c>
      <c r="I45" s="2">
        <f>tandem!C$8-tandem!C$7*(EXP(G45/tandem!C$6/tandem!C$3)-1)</f>
        <v>-1216819.2824641413</v>
      </c>
      <c r="J45" s="2">
        <f>tandem!C$15-tandem!C$14*(EXP(H45/tandem!C$13/tandem!C$3)-1)</f>
        <v>-120.68202824141413</v>
      </c>
    </row>
    <row r="46" spans="1:10" x14ac:dyDescent="0.2">
      <c r="A46">
        <v>0.86</v>
      </c>
      <c r="B46">
        <f t="shared" si="6"/>
        <v>0.20667222854339495</v>
      </c>
      <c r="C46" s="2">
        <f t="shared" si="4"/>
        <v>0.20667222854339495</v>
      </c>
      <c r="D46" s="2">
        <f>tandem!C$6*tandem!C$3*LN((M$29-C46)/tandem!C$7+1)</f>
        <v>0.50370098249978046</v>
      </c>
      <c r="E46" s="2">
        <f>tandem!C$13*tandem!C$3*LN((M$31-C46)/tandem!C$14+1)</f>
        <v>0.73077093719030117</v>
      </c>
      <c r="F46" s="2">
        <f t="shared" si="7"/>
        <v>1.2344719196900815</v>
      </c>
      <c r="G46" s="2">
        <f t="shared" si="2"/>
        <v>0.86</v>
      </c>
      <c r="H46" s="2">
        <f t="shared" si="3"/>
        <v>0.86</v>
      </c>
      <c r="I46" s="2">
        <f>tandem!C$8-tandem!C$7*(EXP(G46/tandem!C$6/tandem!C$3)-1)</f>
        <v>-2633836.4856213457</v>
      </c>
      <c r="J46" s="2">
        <f>tandem!C$15-tandem!C$14*(EXP(H46/tandem!C$13/tandem!C$3)-1)</f>
        <v>-262.38374855713454</v>
      </c>
    </row>
    <row r="47" spans="1:10" x14ac:dyDescent="0.2">
      <c r="A47">
        <v>0.88</v>
      </c>
      <c r="B47">
        <f t="shared" si="6"/>
        <v>0.17888923513641275</v>
      </c>
      <c r="C47" s="2">
        <f t="shared" si="4"/>
        <v>0.17888923513641275</v>
      </c>
      <c r="D47" s="2">
        <f>tandem!C$6*tandem!C$3*LN((M$29-C47)/tandem!C$7+1)</f>
        <v>0.50395731637740304</v>
      </c>
      <c r="E47" s="2">
        <f>tandem!C$13*tandem!C$3*LN((M$31-C47)/tandem!C$14+1)</f>
        <v>0.73116911449756639</v>
      </c>
      <c r="F47" s="2">
        <f t="shared" si="7"/>
        <v>1.2351264308749694</v>
      </c>
      <c r="G47" s="2">
        <f t="shared" si="2"/>
        <v>0.88</v>
      </c>
      <c r="H47" s="2">
        <f t="shared" si="3"/>
        <v>0.88</v>
      </c>
      <c r="I47" s="2">
        <f>tandem!C$8-tandem!C$7*(EXP(G47/tandem!C$6/tandem!C$3)-1)</f>
        <v>-5701005.1392271733</v>
      </c>
      <c r="J47" s="2">
        <f>tandem!C$15-tandem!C$14*(EXP(H47/tandem!C$13/tandem!C$3)-1)</f>
        <v>-569.1006139177174</v>
      </c>
    </row>
    <row r="48" spans="1:10" x14ac:dyDescent="0.2">
      <c r="A48">
        <v>0.9</v>
      </c>
      <c r="B48">
        <f t="shared" si="6"/>
        <v>0.15054498803265481</v>
      </c>
      <c r="C48" s="2">
        <f t="shared" si="4"/>
        <v>0.15054498803265481</v>
      </c>
      <c r="D48" s="2">
        <f>tandem!C$6*tandem!C$3*LN((M$29-C48)/tandem!C$7+1)</f>
        <v>0.50421624013926813</v>
      </c>
      <c r="E48" s="2">
        <f>tandem!C$13*tandem!C$3*LN((M$31-C48)/tandem!C$14+1)</f>
        <v>0.7315691239984935</v>
      </c>
      <c r="F48" s="2">
        <f t="shared" si="7"/>
        <v>1.2357853641377616</v>
      </c>
      <c r="G48" s="2">
        <f t="shared" si="2"/>
        <v>0.9</v>
      </c>
      <c r="H48" s="2">
        <f t="shared" si="3"/>
        <v>0.9</v>
      </c>
      <c r="I48" s="2">
        <f>tandem!C$8-tandem!C$7*(EXP(G48/tandem!C$6/tandem!C$3)-1)</f>
        <v>-12339967.269469095</v>
      </c>
      <c r="J48" s="2">
        <f>tandem!C$15-tandem!C$14*(EXP(H48/tandem!C$13/tandem!C$3)-1)</f>
        <v>-1232.9968269419094</v>
      </c>
    </row>
    <row r="49" spans="1:10" x14ac:dyDescent="0.2">
      <c r="A49">
        <v>0.92</v>
      </c>
      <c r="B49">
        <f t="shared" si="6"/>
        <v>0.12162814915535169</v>
      </c>
      <c r="C49" s="2">
        <f t="shared" si="4"/>
        <v>0.12162814915535169</v>
      </c>
      <c r="D49" s="2">
        <f>tandem!C$6*tandem!C$3*LN((M$29-C49)/tandem!C$7+1)</f>
        <v>0.50447775380062188</v>
      </c>
      <c r="E49" s="2">
        <f>tandem!C$13*tandem!C$3*LN((M$31-C49)/tandem!C$14+1)</f>
        <v>0.73197094585167521</v>
      </c>
      <c r="F49" s="2">
        <f t="shared" si="7"/>
        <v>1.2364486996522972</v>
      </c>
      <c r="G49" s="2">
        <f t="shared" si="2"/>
        <v>0.92</v>
      </c>
      <c r="H49" s="2">
        <f t="shared" si="3"/>
        <v>0.92</v>
      </c>
      <c r="I49" s="2">
        <f>tandem!C$8-tandem!C$7*(EXP(G49/tandem!C$6/tandem!C$3)-1)</f>
        <v>-26710164.394094359</v>
      </c>
      <c r="J49" s="2">
        <f>tandem!C$15-tandem!C$14*(EXP(H49/tandem!C$13/tandem!C$3)-1)</f>
        <v>-2670.0165394044361</v>
      </c>
    </row>
    <row r="50" spans="1:10" x14ac:dyDescent="0.2">
      <c r="A50">
        <v>0.94000000000000006</v>
      </c>
      <c r="B50">
        <f t="shared" si="6"/>
        <v>9.2127151383389227E-2</v>
      </c>
      <c r="C50" s="2">
        <f t="shared" si="4"/>
        <v>9.2127151383389227E-2</v>
      </c>
      <c r="D50" s="2">
        <f>tandem!C$6*tandem!C$3*LN((M$29-C50)/tandem!C$7+1)</f>
        <v>0.50474185685882544</v>
      </c>
      <c r="E50" s="2">
        <f>tandem!C$13*tandem!C$3*LN((M$31-C50)/tandem!C$14+1)</f>
        <v>0.73237456017970048</v>
      </c>
      <c r="F50" s="2">
        <f t="shared" si="7"/>
        <v>1.2371164170385258</v>
      </c>
      <c r="G50" s="2">
        <f t="shared" si="2"/>
        <v>0.94000000000000006</v>
      </c>
      <c r="H50" s="2">
        <f t="shared" si="3"/>
        <v>0.94000000000000006</v>
      </c>
      <c r="I50" s="2">
        <f>tandem!C$8-tandem!C$7*(EXP(G50/tandem!C$6/tandem!C$3)-1)</f>
        <v>-57814810.17297598</v>
      </c>
      <c r="J50" s="2">
        <f>tandem!C$15-tandem!C$14*(EXP(H50/tandem!C$13/tandem!C$3)-1)</f>
        <v>-5780.4811172925974</v>
      </c>
    </row>
    <row r="51" spans="1:10" x14ac:dyDescent="0.2">
      <c r="A51">
        <v>0.96</v>
      </c>
      <c r="B51">
        <f t="shared" si="6"/>
        <v>6.2030193924306976E-2</v>
      </c>
      <c r="C51" s="2">
        <f t="shared" si="4"/>
        <v>6.2030193924306976E-2</v>
      </c>
      <c r="D51" s="2">
        <f>tandem!C$6*tandem!C$3*LN((M$29-C51)/tandem!C$7+1)</f>
        <v>0.50500854829375663</v>
      </c>
      <c r="E51" s="2">
        <f>tandem!C$13*tandem!C$3*LN((M$31-C51)/tandem!C$14+1)</f>
        <v>0.73277994707780147</v>
      </c>
      <c r="F51" s="2">
        <f t="shared" si="7"/>
        <v>1.2377884953715581</v>
      </c>
      <c r="G51" s="2">
        <f t="shared" si="2"/>
        <v>0.96</v>
      </c>
      <c r="H51" s="2">
        <f t="shared" si="3"/>
        <v>0.96</v>
      </c>
      <c r="I51" s="2">
        <f>tandem!C$8-tandem!C$7*(EXP(G51/tandem!C$6/tandem!C$3)-1)</f>
        <v>-125141582.42523436</v>
      </c>
      <c r="J51" s="2">
        <f>tandem!C$15-tandem!C$14*(EXP(H51/tandem!C$13/tandem!C$3)-1)</f>
        <v>-12513.158342518434</v>
      </c>
    </row>
    <row r="52" spans="1:10" x14ac:dyDescent="0.2">
      <c r="A52">
        <v>0.98</v>
      </c>
      <c r="B52">
        <f t="shared" si="6"/>
        <v>3.1325237593822997E-2</v>
      </c>
      <c r="C52" s="2">
        <f t="shared" si="4"/>
        <v>3.1325237593822997E-2</v>
      </c>
      <c r="D52" s="2">
        <f>tandem!C$6*tandem!C$3*LN((M$29-C52)/tandem!C$7+1)</f>
        <v>0.50527782656862597</v>
      </c>
      <c r="E52" s="2">
        <f>tandem!C$13*tandem!C$3*LN((M$31-C52)/tandem!C$14+1)</f>
        <v>0.73318708662233145</v>
      </c>
      <c r="F52" s="2">
        <f t="shared" si="7"/>
        <v>1.2384649131909575</v>
      </c>
      <c r="G52" s="2">
        <f t="shared" si="2"/>
        <v>0.98</v>
      </c>
      <c r="H52" s="2">
        <f t="shared" si="3"/>
        <v>0.98</v>
      </c>
      <c r="I52" s="2">
        <f>tandem!C$8-tandem!C$7*(EXP(G52/tandem!C$6/tandem!C$3)-1)</f>
        <v>-270872039.99518114</v>
      </c>
      <c r="J52" s="2">
        <f>tandem!C$15-tandem!C$14*(EXP(H52/tandem!C$13/tandem!C$3)-1)</f>
        <v>-27086.204099513114</v>
      </c>
    </row>
    <row r="53" spans="1:10" x14ac:dyDescent="0.2">
      <c r="A53">
        <v>1</v>
      </c>
      <c r="B53">
        <f t="shared" si="6"/>
        <v>0</v>
      </c>
      <c r="C53" s="2">
        <f t="shared" si="4"/>
        <v>0</v>
      </c>
      <c r="D53" s="2">
        <f>tandem!C$6*tandem!C$3*LN((M$29-C53)/tandem!C$7+1)</f>
        <v>0.50554968963120361</v>
      </c>
      <c r="E53" s="2">
        <f>tandem!C$13*tandem!C$3*LN((M$31-C53)/tandem!C$14+1)</f>
        <v>0.73359595887906492</v>
      </c>
      <c r="F53" s="2">
        <f t="shared" si="7"/>
        <v>1.2391456485102685</v>
      </c>
      <c r="G53" s="2">
        <f t="shared" si="2"/>
        <v>1</v>
      </c>
      <c r="H53" s="2">
        <f t="shared" si="3"/>
        <v>1</v>
      </c>
      <c r="I53" s="2">
        <f>tandem!C$8-tandem!C$7*(EXP(G53/tandem!C$6/tandem!C$3)-1)</f>
        <v>-586309206.41649663</v>
      </c>
      <c r="J53" s="2">
        <f>tandem!C$15-tandem!C$14*(EXP(H53/tandem!C$13/tandem!C$3)-1)</f>
        <v>-58629.920741644666</v>
      </c>
    </row>
    <row r="54" spans="1:10" x14ac:dyDescent="0.2">
      <c r="C54" s="7"/>
      <c r="D54" s="7"/>
      <c r="E54" s="7"/>
      <c r="F54" s="7"/>
      <c r="G54" s="7"/>
      <c r="H54" s="7"/>
    </row>
    <row r="55" spans="1:10" x14ac:dyDescent="0.2">
      <c r="C55" s="7"/>
      <c r="D55" s="7"/>
      <c r="E55" s="7"/>
      <c r="F55" s="7"/>
      <c r="G55" s="7"/>
      <c r="H55" s="7"/>
    </row>
    <row r="56" spans="1:10" x14ac:dyDescent="0.2">
      <c r="C56" s="7"/>
      <c r="D56" s="7"/>
      <c r="E56" s="7"/>
      <c r="F56" s="7"/>
      <c r="G56" s="7"/>
      <c r="H56" s="7"/>
    </row>
    <row r="57" spans="1:10" x14ac:dyDescent="0.2">
      <c r="C57" s="7"/>
      <c r="D57" s="7"/>
      <c r="E57" s="7"/>
      <c r="F57" s="7"/>
      <c r="G57" s="7"/>
      <c r="H57" s="7"/>
    </row>
    <row r="58" spans="1:10" x14ac:dyDescent="0.2">
      <c r="C58" s="7"/>
      <c r="D58" s="7"/>
      <c r="E58" s="7"/>
      <c r="F58" s="7"/>
      <c r="G58" s="7"/>
      <c r="H58" s="7"/>
    </row>
    <row r="59" spans="1:10" x14ac:dyDescent="0.2">
      <c r="C59" s="7"/>
      <c r="D59" s="7"/>
      <c r="E59" s="7"/>
      <c r="F59" s="7"/>
      <c r="G59" s="7"/>
      <c r="H59" s="7"/>
    </row>
    <row r="60" spans="1:10" x14ac:dyDescent="0.2">
      <c r="C60" s="7"/>
      <c r="D60" s="7"/>
      <c r="E60" s="7"/>
      <c r="F60" s="7"/>
      <c r="G60" s="7"/>
      <c r="H60" s="7"/>
    </row>
    <row r="61" spans="1:10" x14ac:dyDescent="0.2">
      <c r="C61" s="7"/>
      <c r="D61" s="7"/>
      <c r="E61" s="7"/>
      <c r="F61" s="7"/>
      <c r="G61" s="7"/>
      <c r="H61" s="7"/>
    </row>
    <row r="62" spans="1:10" x14ac:dyDescent="0.2">
      <c r="C62" s="7"/>
      <c r="D62" s="7"/>
      <c r="E62" s="7"/>
      <c r="F62" s="7"/>
      <c r="G62" s="7"/>
      <c r="H62" s="7"/>
    </row>
    <row r="63" spans="1:10" x14ac:dyDescent="0.2">
      <c r="C63" s="7"/>
      <c r="D63" s="7"/>
      <c r="E63" s="7"/>
      <c r="F63" s="7"/>
      <c r="G63" s="7"/>
      <c r="H63" s="7"/>
    </row>
    <row r="64" spans="1:10" x14ac:dyDescent="0.2">
      <c r="C64" s="7"/>
      <c r="D64" s="7"/>
      <c r="E64" s="7"/>
      <c r="F64" s="7"/>
      <c r="G64" s="7"/>
      <c r="H64" s="7"/>
    </row>
    <row r="65" spans="3:8" x14ac:dyDescent="0.2">
      <c r="C65" s="7"/>
      <c r="D65" s="7"/>
      <c r="E65" s="7"/>
      <c r="F65" s="7"/>
      <c r="G65" s="7"/>
      <c r="H65" s="7"/>
    </row>
    <row r="66" spans="3:8" x14ac:dyDescent="0.2">
      <c r="C66" s="7"/>
      <c r="D66" s="7"/>
      <c r="E66" s="7"/>
      <c r="F66" s="7"/>
      <c r="G66" s="7"/>
      <c r="H66" s="7"/>
    </row>
    <row r="67" spans="3:8" x14ac:dyDescent="0.2">
      <c r="C67" s="7"/>
      <c r="D67" s="7"/>
      <c r="E67" s="7"/>
      <c r="F67" s="7"/>
      <c r="G67" s="7"/>
      <c r="H67" s="7"/>
    </row>
    <row r="68" spans="3:8" x14ac:dyDescent="0.2">
      <c r="C68" s="7"/>
      <c r="D68" s="7"/>
      <c r="E68" s="7"/>
      <c r="F68" s="7"/>
      <c r="G68" s="7"/>
      <c r="H68" s="7"/>
    </row>
    <row r="69" spans="3:8" x14ac:dyDescent="0.2">
      <c r="C69" s="7"/>
      <c r="D69" s="7"/>
      <c r="E69" s="7"/>
      <c r="F69" s="7"/>
      <c r="G69" s="7"/>
      <c r="H69" s="7"/>
    </row>
    <row r="70" spans="3:8" x14ac:dyDescent="0.2">
      <c r="C70" s="7"/>
      <c r="D70" s="7"/>
      <c r="E70" s="7"/>
      <c r="F70" s="7"/>
      <c r="G70" s="7"/>
      <c r="H70" s="7"/>
    </row>
    <row r="71" spans="3:8" x14ac:dyDescent="0.2">
      <c r="C71" s="7"/>
      <c r="D71" s="7"/>
      <c r="E71" s="7"/>
      <c r="F71" s="7"/>
      <c r="G71" s="7"/>
      <c r="H71" s="7"/>
    </row>
    <row r="72" spans="3:8" x14ac:dyDescent="0.2">
      <c r="C72" s="7"/>
      <c r="D72" s="7"/>
      <c r="E72" s="7"/>
      <c r="F72" s="7"/>
      <c r="G72" s="7"/>
      <c r="H72" s="7"/>
    </row>
    <row r="73" spans="3:8" x14ac:dyDescent="0.2">
      <c r="C73" s="7"/>
      <c r="D73" s="7"/>
      <c r="E73" s="7"/>
      <c r="F73" s="7"/>
      <c r="G73" s="7"/>
      <c r="H73" s="7"/>
    </row>
    <row r="74" spans="3:8" x14ac:dyDescent="0.2">
      <c r="C74" s="7"/>
      <c r="D74" s="7"/>
      <c r="E74" s="7"/>
      <c r="F74" s="7"/>
      <c r="G74" s="7"/>
      <c r="H74" s="7"/>
    </row>
    <row r="75" spans="3:8" x14ac:dyDescent="0.2">
      <c r="C75" s="7"/>
      <c r="D75" s="7"/>
      <c r="E75" s="7"/>
      <c r="F75" s="7"/>
      <c r="G75" s="7"/>
      <c r="H75" s="7"/>
    </row>
    <row r="76" spans="3:8" x14ac:dyDescent="0.2">
      <c r="C76" s="7"/>
      <c r="D76" s="7"/>
      <c r="E76" s="7"/>
      <c r="F76" s="7"/>
      <c r="G76" s="7"/>
      <c r="H76" s="7"/>
    </row>
    <row r="77" spans="3:8" x14ac:dyDescent="0.2">
      <c r="C77" s="7"/>
      <c r="D77" s="7"/>
      <c r="E77" s="7"/>
      <c r="F77" s="7"/>
      <c r="G77" s="7"/>
      <c r="H77" s="7"/>
    </row>
    <row r="78" spans="3:8" x14ac:dyDescent="0.2">
      <c r="C78" s="7"/>
      <c r="D78" s="7"/>
      <c r="E78" s="7"/>
      <c r="F78" s="7"/>
      <c r="G78" s="7"/>
      <c r="H78" s="7"/>
    </row>
    <row r="79" spans="3:8" x14ac:dyDescent="0.2">
      <c r="C79" s="7"/>
      <c r="D79" s="7"/>
      <c r="E79" s="7"/>
      <c r="F79" s="7"/>
      <c r="G79" s="7"/>
      <c r="H79" s="7"/>
    </row>
    <row r="80" spans="3:8" x14ac:dyDescent="0.2">
      <c r="C80" s="7"/>
      <c r="D80" s="7"/>
      <c r="E80" s="7"/>
      <c r="F80" s="7"/>
      <c r="G80" s="7"/>
      <c r="H80" s="7"/>
    </row>
    <row r="81" spans="3:8" x14ac:dyDescent="0.2">
      <c r="C81" s="7"/>
      <c r="D81" s="7"/>
      <c r="E81" s="7"/>
      <c r="F81" s="7"/>
      <c r="G81" s="7"/>
      <c r="H81" s="7"/>
    </row>
    <row r="82" spans="3:8" x14ac:dyDescent="0.2">
      <c r="C82" s="7"/>
      <c r="D82" s="7"/>
      <c r="E82" s="7"/>
      <c r="F82" s="7"/>
      <c r="G82" s="7"/>
      <c r="H82" s="7"/>
    </row>
    <row r="83" spans="3:8" x14ac:dyDescent="0.2">
      <c r="C83" s="7"/>
      <c r="D83" s="7"/>
      <c r="E83" s="7"/>
      <c r="F83" s="7"/>
      <c r="G83" s="7"/>
      <c r="H83" s="7"/>
    </row>
    <row r="84" spans="3:8" x14ac:dyDescent="0.2">
      <c r="C84" s="7"/>
      <c r="D84" s="7"/>
      <c r="E84" s="7"/>
      <c r="F84" s="7"/>
      <c r="G84" s="7"/>
      <c r="H84" s="7"/>
    </row>
    <row r="85" spans="3:8" x14ac:dyDescent="0.2">
      <c r="C85" s="7"/>
      <c r="D85" s="7"/>
      <c r="E85" s="7"/>
      <c r="F85" s="7"/>
      <c r="G85" s="7"/>
      <c r="H85" s="7"/>
    </row>
    <row r="86" spans="3:8" x14ac:dyDescent="0.2">
      <c r="C86" s="7"/>
      <c r="D86" s="7"/>
      <c r="E86" s="7"/>
      <c r="F86" s="7"/>
      <c r="G86" s="7"/>
      <c r="H86" s="7"/>
    </row>
    <row r="87" spans="3:8" x14ac:dyDescent="0.2">
      <c r="C87" s="7"/>
      <c r="D87" s="7"/>
      <c r="E87" s="7"/>
      <c r="F87" s="7"/>
      <c r="G87" s="7"/>
      <c r="H87" s="7"/>
    </row>
    <row r="88" spans="3:8" x14ac:dyDescent="0.2">
      <c r="C88" s="7"/>
      <c r="D88" s="7"/>
      <c r="E88" s="7"/>
      <c r="F88" s="7"/>
      <c r="G88" s="7"/>
      <c r="H88" s="7"/>
    </row>
    <row r="89" spans="3:8" x14ac:dyDescent="0.2">
      <c r="C89" s="7"/>
      <c r="D89" s="7"/>
      <c r="E89" s="7"/>
      <c r="F89" s="7"/>
      <c r="G89" s="7"/>
      <c r="H89" s="7"/>
    </row>
    <row r="90" spans="3:8" x14ac:dyDescent="0.2">
      <c r="C90" s="7"/>
      <c r="D90" s="7"/>
      <c r="E90" s="7"/>
      <c r="F90" s="7"/>
      <c r="G90" s="7"/>
      <c r="H90" s="7"/>
    </row>
    <row r="91" spans="3:8" x14ac:dyDescent="0.2">
      <c r="C91" s="7"/>
      <c r="D91" s="7"/>
      <c r="E91" s="7"/>
      <c r="F91" s="7"/>
      <c r="G91" s="7"/>
      <c r="H91" s="7"/>
    </row>
    <row r="92" spans="3:8" x14ac:dyDescent="0.2">
      <c r="C92" s="7"/>
      <c r="D92" s="7"/>
      <c r="E92" s="7"/>
      <c r="F92" s="7"/>
      <c r="G92" s="7"/>
      <c r="H92" s="7"/>
    </row>
    <row r="93" spans="3:8" x14ac:dyDescent="0.2">
      <c r="C93" s="7"/>
      <c r="D93" s="7"/>
      <c r="E93" s="7"/>
      <c r="F93" s="7"/>
      <c r="G93" s="7"/>
      <c r="H93" s="7"/>
    </row>
    <row r="94" spans="3:8" x14ac:dyDescent="0.2">
      <c r="C94" s="7"/>
      <c r="D94" s="7"/>
      <c r="E94" s="7"/>
      <c r="F94" s="7"/>
      <c r="G94" s="7"/>
      <c r="H94" s="7"/>
    </row>
    <row r="95" spans="3:8" x14ac:dyDescent="0.2">
      <c r="C95" s="7"/>
      <c r="D95" s="7"/>
      <c r="E95" s="7"/>
      <c r="F95" s="7"/>
      <c r="G95" s="7"/>
      <c r="H95" s="7"/>
    </row>
    <row r="96" spans="3:8" x14ac:dyDescent="0.2">
      <c r="C96" s="7"/>
      <c r="D96" s="7"/>
      <c r="E96" s="7"/>
      <c r="F96" s="7"/>
      <c r="G96" s="7"/>
      <c r="H96" s="7"/>
    </row>
    <row r="97" spans="3:8" x14ac:dyDescent="0.2">
      <c r="C97" s="7"/>
      <c r="D97" s="7"/>
      <c r="E97" s="7"/>
      <c r="F97" s="7"/>
      <c r="G97" s="7"/>
      <c r="H97" s="7"/>
    </row>
    <row r="98" spans="3:8" x14ac:dyDescent="0.2">
      <c r="C98" s="7"/>
      <c r="D98" s="7"/>
      <c r="E98" s="7"/>
      <c r="F98" s="7"/>
      <c r="G98" s="7"/>
      <c r="H98" s="7"/>
    </row>
    <row r="99" spans="3:8" x14ac:dyDescent="0.2">
      <c r="C99" s="7"/>
      <c r="D99" s="7"/>
      <c r="E99" s="7"/>
      <c r="F99" s="7"/>
      <c r="G99" s="7"/>
      <c r="H99" s="7"/>
    </row>
    <row r="100" spans="3:8" x14ac:dyDescent="0.2">
      <c r="C100" s="7"/>
      <c r="D100" s="7"/>
      <c r="E100" s="7"/>
      <c r="F100" s="7"/>
      <c r="G100" s="7"/>
      <c r="H100" s="7"/>
    </row>
    <row r="101" spans="3:8" x14ac:dyDescent="0.2">
      <c r="C101" s="7"/>
      <c r="D101" s="7"/>
      <c r="E101" s="7"/>
      <c r="F101" s="7"/>
      <c r="G101" s="7"/>
      <c r="H101" s="7"/>
    </row>
    <row r="102" spans="3:8" x14ac:dyDescent="0.2">
      <c r="C102" s="7"/>
      <c r="D102" s="7"/>
      <c r="E102" s="7"/>
      <c r="F102" s="7"/>
      <c r="G102" s="7"/>
      <c r="H102" s="7"/>
    </row>
    <row r="103" spans="3:8" x14ac:dyDescent="0.2">
      <c r="C103" s="7"/>
      <c r="D103" s="7"/>
      <c r="E103" s="7"/>
      <c r="F103" s="7"/>
      <c r="G103" s="7"/>
      <c r="H103" s="7"/>
    </row>
    <row r="104" spans="3:8" x14ac:dyDescent="0.2">
      <c r="C104" s="1"/>
      <c r="D104" s="1"/>
      <c r="E104" s="1"/>
    </row>
    <row r="105" spans="3:8" x14ac:dyDescent="0.2">
      <c r="C105" s="1"/>
      <c r="D105" s="1"/>
      <c r="E105" s="1"/>
    </row>
    <row r="106" spans="3:8" x14ac:dyDescent="0.2">
      <c r="C106" s="1"/>
      <c r="D106" s="1"/>
      <c r="E106" s="1"/>
    </row>
    <row r="107" spans="3:8" x14ac:dyDescent="0.2">
      <c r="C107" s="1"/>
      <c r="D107" s="1"/>
      <c r="E107" s="1"/>
    </row>
    <row r="108" spans="3:8" x14ac:dyDescent="0.2">
      <c r="C108" s="1"/>
      <c r="D108" s="1"/>
      <c r="E108" s="1"/>
    </row>
    <row r="109" spans="3:8" x14ac:dyDescent="0.2">
      <c r="C109" s="1"/>
      <c r="D109" s="1"/>
      <c r="E109" s="1"/>
    </row>
    <row r="110" spans="3:8" x14ac:dyDescent="0.2">
      <c r="C110" s="1"/>
      <c r="D110" s="1"/>
      <c r="E110" s="1"/>
    </row>
    <row r="111" spans="3:8" x14ac:dyDescent="0.2">
      <c r="C111" s="1"/>
      <c r="D111" s="1"/>
      <c r="E11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17</vt:i4>
      </vt:variant>
    </vt:vector>
  </HeadingPairs>
  <TitlesOfParts>
    <vt:vector size="19" baseType="lpstr">
      <vt:lpstr>tandem</vt:lpstr>
      <vt:lpstr>calc</vt:lpstr>
      <vt:lpstr>I0_1_mA</vt:lpstr>
      <vt:lpstr>I0_2_mA</vt:lpstr>
      <vt:lpstr>I1m_mA</vt:lpstr>
      <vt:lpstr>I2m_mA</vt:lpstr>
      <vt:lpstr>Ierror</vt:lpstr>
      <vt:lpstr>Im_mA</vt:lpstr>
      <vt:lpstr>Ip_1_mA</vt:lpstr>
      <vt:lpstr>Ip_2_mA</vt:lpstr>
      <vt:lpstr>Ip_mA</vt:lpstr>
      <vt:lpstr>Isc_mA</vt:lpstr>
      <vt:lpstr>n_1</vt:lpstr>
      <vt:lpstr>n_2</vt:lpstr>
      <vt:lpstr>P1m_mW</vt:lpstr>
      <vt:lpstr>P2m_mW</vt:lpstr>
      <vt:lpstr>Pm_mW</vt:lpstr>
      <vt:lpstr>SolveState</vt:lpstr>
      <vt:lpstr>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2024-03-14T17:59:30Z</dcterms:created>
  <dcterms:modified xsi:type="dcterms:W3CDTF">2024-03-26T22:48:29Z</dcterms:modified>
</cp:coreProperties>
</file>