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hil3/Documents/calcs/SQ_multijunc/"/>
    </mc:Choice>
  </mc:AlternateContent>
  <xr:revisionPtr revIDLastSave="0" documentId="13_ncr:1_{FFA1A705-A7E8-004D-BEE2-FFAA07359BA0}" xr6:coauthVersionLast="47" xr6:coauthVersionMax="47" xr10:uidLastSave="{00000000-0000-0000-0000-000000000000}"/>
  <bookViews>
    <workbookView xWindow="2400" yWindow="-21600" windowWidth="26640" windowHeight="18540" xr2:uid="{F39901F2-9B9C-3F40-87C6-17C8C951FC81}"/>
  </bookViews>
  <sheets>
    <sheet name="Sheet1" sheetId="1" r:id="rId1"/>
    <sheet name="Sheet3" sheetId="3" r:id="rId2"/>
  </sheets>
  <definedNames>
    <definedName name="I0_1_mA">Sheet1!$C$7</definedName>
    <definedName name="I0_2_mA">Sheet1!$C$14</definedName>
    <definedName name="I1m_mA">Sheet1!$F$7</definedName>
    <definedName name="I2m_mA">Sheet1!$F$14</definedName>
    <definedName name="Ierror">Sheet1!$E$30</definedName>
    <definedName name="Im_mA">Sheet1!$C$21</definedName>
    <definedName name="Ip_1_mA">Sheet1!$C$8</definedName>
    <definedName name="Ip_2_mA">Sheet1!$C$15</definedName>
    <definedName name="Ip_mA">Sheet1!$C$2</definedName>
    <definedName name="Isc_mA">Sheet1!$C$25</definedName>
    <definedName name="n_1">Sheet1!$C$6</definedName>
    <definedName name="n_2">Sheet1!$C$13</definedName>
    <definedName name="P1m_mW">Sheet1!$F$8</definedName>
    <definedName name="P2m_mW">Sheet1!$F$15</definedName>
    <definedName name="Pm_mW">Sheet1!$C$22</definedName>
    <definedName name="solver_adj" localSheetId="0" hidden="1">Sheet1!$F$14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Sheet1!$C$21</definedName>
    <definedName name="solver_lhs2" localSheetId="0" hidden="1">Sheet1!$C$21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opt" localSheetId="0" hidden="1">Sheet1!$F$15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1</definedName>
    <definedName name="solver_rhs1" localSheetId="0" hidden="1">Sheet1!#REF!</definedName>
    <definedName name="solver_rhs2" localSheetId="0" hidden="1">Sheet1!#REF!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  <definedName name="u">Sheet1!$E$29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3" l="1"/>
  <c r="M4" i="3" s="1"/>
  <c r="M28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E3" i="3"/>
  <c r="B3" i="3"/>
  <c r="M3" i="3" l="1"/>
  <c r="L16" i="3" s="1"/>
  <c r="L13" i="3"/>
  <c r="M13" i="3" s="1"/>
  <c r="L15" i="3"/>
  <c r="M15" i="3" s="1"/>
  <c r="M16" i="3" l="1"/>
  <c r="M9" i="3" s="1"/>
  <c r="L14" i="3"/>
  <c r="L9" i="3"/>
  <c r="M8" i="3"/>
  <c r="L8" i="3"/>
  <c r="L6" i="3"/>
  <c r="M6" i="3" s="1"/>
  <c r="L7" i="3" l="1"/>
  <c r="M14" i="3"/>
  <c r="M7" i="3" s="1"/>
  <c r="M10" i="3" s="1"/>
  <c r="M17" i="3" l="1"/>
  <c r="M18" i="3" s="1"/>
  <c r="M11" i="3" s="1"/>
  <c r="C4" i="1" l="1"/>
  <c r="C15" i="1" s="1"/>
  <c r="M22" i="3" s="1"/>
  <c r="C8" i="1" l="1"/>
  <c r="M21" i="3" s="1"/>
  <c r="E30" i="1" s="1"/>
  <c r="F17" i="1"/>
  <c r="F16" i="1"/>
  <c r="C16" i="1"/>
  <c r="C17" i="1" s="1"/>
  <c r="F13" i="1"/>
  <c r="F15" i="1" s="1"/>
  <c r="C24" i="1" l="1"/>
  <c r="F6" i="1"/>
  <c r="F8" i="1" s="1"/>
  <c r="F9" i="1"/>
  <c r="G51" i="3" s="1"/>
  <c r="I51" i="3" s="1"/>
  <c r="C9" i="1"/>
  <c r="C10" i="1" s="1"/>
  <c r="F10" i="1"/>
  <c r="C25" i="1"/>
  <c r="C44" i="3" s="1"/>
  <c r="H43" i="3"/>
  <c r="J43" i="3" s="1"/>
  <c r="H27" i="3"/>
  <c r="J27" i="3" s="1"/>
  <c r="H50" i="3"/>
  <c r="J50" i="3" s="1"/>
  <c r="H34" i="3"/>
  <c r="J34" i="3" s="1"/>
  <c r="H18" i="3"/>
  <c r="J18" i="3" s="1"/>
  <c r="H45" i="3"/>
  <c r="J45" i="3" s="1"/>
  <c r="H29" i="3"/>
  <c r="J29" i="3" s="1"/>
  <c r="H13" i="3"/>
  <c r="J13" i="3" s="1"/>
  <c r="H40" i="3"/>
  <c r="J40" i="3" s="1"/>
  <c r="H24" i="3"/>
  <c r="J24" i="3" s="1"/>
  <c r="H8" i="3"/>
  <c r="J8" i="3" s="1"/>
  <c r="H11" i="3"/>
  <c r="J11" i="3" s="1"/>
  <c r="H6" i="3"/>
  <c r="J6" i="3" s="1"/>
  <c r="H23" i="3"/>
  <c r="J23" i="3" s="1"/>
  <c r="H14" i="3"/>
  <c r="J14" i="3" s="1"/>
  <c r="H25" i="3"/>
  <c r="J25" i="3" s="1"/>
  <c r="H20" i="3"/>
  <c r="J20" i="3" s="1"/>
  <c r="H51" i="3"/>
  <c r="J51" i="3" s="1"/>
  <c r="H35" i="3"/>
  <c r="J35" i="3" s="1"/>
  <c r="H19" i="3"/>
  <c r="J19" i="3" s="1"/>
  <c r="H42" i="3"/>
  <c r="J42" i="3" s="1"/>
  <c r="H26" i="3"/>
  <c r="J26" i="3" s="1"/>
  <c r="H53" i="3"/>
  <c r="J53" i="3" s="1"/>
  <c r="H37" i="3"/>
  <c r="J37" i="3" s="1"/>
  <c r="H21" i="3"/>
  <c r="J21" i="3" s="1"/>
  <c r="H48" i="3"/>
  <c r="J48" i="3" s="1"/>
  <c r="H32" i="3"/>
  <c r="J32" i="3" s="1"/>
  <c r="H16" i="3"/>
  <c r="J16" i="3" s="1"/>
  <c r="H7" i="3"/>
  <c r="J7" i="3" s="1"/>
  <c r="H9" i="3"/>
  <c r="J9" i="3" s="1"/>
  <c r="H46" i="3"/>
  <c r="J46" i="3" s="1"/>
  <c r="H52" i="3"/>
  <c r="J52" i="3" s="1"/>
  <c r="H4" i="3"/>
  <c r="J4" i="3" s="1"/>
  <c r="H47" i="3"/>
  <c r="J47" i="3" s="1"/>
  <c r="H31" i="3"/>
  <c r="J31" i="3" s="1"/>
  <c r="H15" i="3"/>
  <c r="J15" i="3" s="1"/>
  <c r="H38" i="3"/>
  <c r="J38" i="3" s="1"/>
  <c r="H22" i="3"/>
  <c r="J22" i="3" s="1"/>
  <c r="H49" i="3"/>
  <c r="J49" i="3" s="1"/>
  <c r="H33" i="3"/>
  <c r="J33" i="3" s="1"/>
  <c r="H17" i="3"/>
  <c r="J17" i="3" s="1"/>
  <c r="H44" i="3"/>
  <c r="J44" i="3" s="1"/>
  <c r="H28" i="3"/>
  <c r="J28" i="3" s="1"/>
  <c r="H12" i="3"/>
  <c r="J12" i="3" s="1"/>
  <c r="H3" i="3"/>
  <c r="J3" i="3" s="1"/>
  <c r="H5" i="3"/>
  <c r="J5" i="3" s="1"/>
  <c r="H39" i="3"/>
  <c r="J39" i="3" s="1"/>
  <c r="H30" i="3"/>
  <c r="J30" i="3" s="1"/>
  <c r="H41" i="3"/>
  <c r="J41" i="3" s="1"/>
  <c r="H36" i="3"/>
  <c r="J36" i="3" s="1"/>
  <c r="H10" i="3"/>
  <c r="J10" i="3" s="1"/>
  <c r="C30" i="3" l="1"/>
  <c r="D30" i="3" s="1"/>
  <c r="C32" i="3"/>
  <c r="D32" i="3" s="1"/>
  <c r="C19" i="3"/>
  <c r="D19" i="3" s="1"/>
  <c r="C53" i="3"/>
  <c r="E53" i="3" s="1"/>
  <c r="C22" i="3"/>
  <c r="D22" i="3" s="1"/>
  <c r="C42" i="3"/>
  <c r="E42" i="3" s="1"/>
  <c r="C40" i="3"/>
  <c r="D40" i="3" s="1"/>
  <c r="C41" i="3"/>
  <c r="D41" i="3" s="1"/>
  <c r="C5" i="3"/>
  <c r="E5" i="3" s="1"/>
  <c r="C14" i="3"/>
  <c r="E14" i="3" s="1"/>
  <c r="C27" i="3"/>
  <c r="D27" i="3" s="1"/>
  <c r="C16" i="3"/>
  <c r="D16" i="3" s="1"/>
  <c r="C15" i="3"/>
  <c r="D15" i="3" s="1"/>
  <c r="G28" i="3"/>
  <c r="I28" i="3" s="1"/>
  <c r="C17" i="3"/>
  <c r="D17" i="3" s="1"/>
  <c r="C3" i="3"/>
  <c r="C8" i="3"/>
  <c r="D8" i="3" s="1"/>
  <c r="C10" i="3"/>
  <c r="D10" i="3" s="1"/>
  <c r="C35" i="3"/>
  <c r="E35" i="3" s="1"/>
  <c r="C45" i="3"/>
  <c r="E45" i="3" s="1"/>
  <c r="C24" i="3"/>
  <c r="E24" i="3" s="1"/>
  <c r="C26" i="3"/>
  <c r="E26" i="3" s="1"/>
  <c r="G6" i="3"/>
  <c r="I6" i="3" s="1"/>
  <c r="C37" i="3"/>
  <c r="D37" i="3" s="1"/>
  <c r="C31" i="3"/>
  <c r="D31" i="3" s="1"/>
  <c r="C39" i="3"/>
  <c r="E39" i="3" s="1"/>
  <c r="C38" i="3"/>
  <c r="D38" i="3" s="1"/>
  <c r="C48" i="3"/>
  <c r="E48" i="3" s="1"/>
  <c r="C46" i="3"/>
  <c r="D46" i="3" s="1"/>
  <c r="C4" i="3"/>
  <c r="D4" i="3" s="1"/>
  <c r="C18" i="3"/>
  <c r="E18" i="3" s="1"/>
  <c r="C36" i="3"/>
  <c r="D36" i="3" s="1"/>
  <c r="C23" i="3"/>
  <c r="D23" i="3" s="1"/>
  <c r="C47" i="3"/>
  <c r="E47" i="3" s="1"/>
  <c r="C28" i="3"/>
  <c r="D28" i="3" s="1"/>
  <c r="C12" i="3"/>
  <c r="D12" i="3" s="1"/>
  <c r="C43" i="3"/>
  <c r="D43" i="3" s="1"/>
  <c r="C33" i="3"/>
  <c r="E33" i="3" s="1"/>
  <c r="C13" i="3"/>
  <c r="E13" i="3" s="1"/>
  <c r="C6" i="3"/>
  <c r="E6" i="3" s="1"/>
  <c r="C50" i="3"/>
  <c r="D50" i="3" s="1"/>
  <c r="C49" i="3"/>
  <c r="D49" i="3" s="1"/>
  <c r="C9" i="3"/>
  <c r="D9" i="3" s="1"/>
  <c r="C20" i="3"/>
  <c r="D20" i="3" s="1"/>
  <c r="C7" i="3"/>
  <c r="D7" i="3" s="1"/>
  <c r="C21" i="3"/>
  <c r="E21" i="3" s="1"/>
  <c r="C11" i="3"/>
  <c r="D11" i="3" s="1"/>
  <c r="C51" i="3"/>
  <c r="D51" i="3" s="1"/>
  <c r="C52" i="3"/>
  <c r="D52" i="3" s="1"/>
  <c r="C29" i="3"/>
  <c r="E29" i="3" s="1"/>
  <c r="C25" i="3"/>
  <c r="D25" i="3" s="1"/>
  <c r="C34" i="3"/>
  <c r="D34" i="3" s="1"/>
  <c r="G33" i="3"/>
  <c r="I33" i="3" s="1"/>
  <c r="G11" i="3"/>
  <c r="I11" i="3" s="1"/>
  <c r="G50" i="3"/>
  <c r="I50" i="3" s="1"/>
  <c r="C20" i="1"/>
  <c r="C22" i="1" s="1"/>
  <c r="G38" i="3"/>
  <c r="I38" i="3" s="1"/>
  <c r="G27" i="3"/>
  <c r="I27" i="3" s="1"/>
  <c r="G46" i="3"/>
  <c r="I46" i="3" s="1"/>
  <c r="G42" i="3"/>
  <c r="I42" i="3" s="1"/>
  <c r="G52" i="3"/>
  <c r="I52" i="3" s="1"/>
  <c r="G20" i="3"/>
  <c r="I20" i="3" s="1"/>
  <c r="G7" i="3"/>
  <c r="I7" i="3" s="1"/>
  <c r="G29" i="3"/>
  <c r="I29" i="3" s="1"/>
  <c r="G32" i="3"/>
  <c r="I32" i="3" s="1"/>
  <c r="G21" i="3"/>
  <c r="I21" i="3" s="1"/>
  <c r="G24" i="3"/>
  <c r="I24" i="3" s="1"/>
  <c r="G30" i="3"/>
  <c r="I30" i="3" s="1"/>
  <c r="G23" i="3"/>
  <c r="I23" i="3" s="1"/>
  <c r="G15" i="3"/>
  <c r="I15" i="3" s="1"/>
  <c r="G44" i="3"/>
  <c r="I44" i="3" s="1"/>
  <c r="G9" i="3"/>
  <c r="I9" i="3" s="1"/>
  <c r="G45" i="3"/>
  <c r="I45" i="3" s="1"/>
  <c r="G48" i="3"/>
  <c r="I48" i="3" s="1"/>
  <c r="G37" i="3"/>
  <c r="I37" i="3" s="1"/>
  <c r="G40" i="3"/>
  <c r="I40" i="3" s="1"/>
  <c r="G19" i="3"/>
  <c r="I19" i="3" s="1"/>
  <c r="G43" i="3"/>
  <c r="I43" i="3" s="1"/>
  <c r="G25" i="3"/>
  <c r="I25" i="3" s="1"/>
  <c r="G12" i="3"/>
  <c r="I12" i="3" s="1"/>
  <c r="G18" i="3"/>
  <c r="I18" i="3" s="1"/>
  <c r="G39" i="3"/>
  <c r="I39" i="3" s="1"/>
  <c r="G17" i="3"/>
  <c r="I17" i="3" s="1"/>
  <c r="G4" i="3"/>
  <c r="I4" i="3" s="1"/>
  <c r="G53" i="3"/>
  <c r="I53" i="3" s="1"/>
  <c r="G31" i="3"/>
  <c r="I31" i="3" s="1"/>
  <c r="G10" i="3"/>
  <c r="I10" i="3" s="1"/>
  <c r="G8" i="3"/>
  <c r="I8" i="3" s="1"/>
  <c r="G35" i="3"/>
  <c r="I35" i="3" s="1"/>
  <c r="G3" i="3"/>
  <c r="I3" i="3" s="1"/>
  <c r="G36" i="3"/>
  <c r="I36" i="3" s="1"/>
  <c r="G14" i="3"/>
  <c r="I14" i="3" s="1"/>
  <c r="G13" i="3"/>
  <c r="I13" i="3" s="1"/>
  <c r="G34" i="3"/>
  <c r="I34" i="3" s="1"/>
  <c r="G16" i="3"/>
  <c r="I16" i="3" s="1"/>
  <c r="G22" i="3"/>
  <c r="I22" i="3" s="1"/>
  <c r="G5" i="3"/>
  <c r="I5" i="3" s="1"/>
  <c r="G26" i="3"/>
  <c r="I26" i="3" s="1"/>
  <c r="G47" i="3"/>
  <c r="I47" i="3" s="1"/>
  <c r="G49" i="3"/>
  <c r="I49" i="3" s="1"/>
  <c r="G41" i="3"/>
  <c r="I41" i="3" s="1"/>
  <c r="D39" i="3"/>
  <c r="D44" i="3"/>
  <c r="E44" i="3"/>
  <c r="D5" i="3" l="1"/>
  <c r="F5" i="3" s="1"/>
  <c r="E30" i="3"/>
  <c r="F30" i="3" s="1"/>
  <c r="E22" i="3"/>
  <c r="E32" i="3"/>
  <c r="F32" i="3" s="1"/>
  <c r="E40" i="3"/>
  <c r="F40" i="3" s="1"/>
  <c r="D13" i="3"/>
  <c r="F13" i="3" s="1"/>
  <c r="E19" i="3"/>
  <c r="F19" i="3" s="1"/>
  <c r="E41" i="3"/>
  <c r="F41" i="3" s="1"/>
  <c r="D18" i="3"/>
  <c r="F18" i="3" s="1"/>
  <c r="D35" i="3"/>
  <c r="F35" i="3" s="1"/>
  <c r="D14" i="3"/>
  <c r="F14" i="3" s="1"/>
  <c r="E31" i="3"/>
  <c r="F31" i="3" s="1"/>
  <c r="E15" i="3"/>
  <c r="F15" i="3" s="1"/>
  <c r="E8" i="3"/>
  <c r="F8" i="3" s="1"/>
  <c r="D24" i="3"/>
  <c r="F24" i="3" s="1"/>
  <c r="D42" i="3"/>
  <c r="F42" i="3" s="1"/>
  <c r="E10" i="3"/>
  <c r="F10" i="3" s="1"/>
  <c r="D53" i="3"/>
  <c r="F53" i="3" s="1"/>
  <c r="D48" i="3"/>
  <c r="F48" i="3" s="1"/>
  <c r="E36" i="3"/>
  <c r="F36" i="3" s="1"/>
  <c r="D45" i="3"/>
  <c r="F45" i="3" s="1"/>
  <c r="E20" i="3"/>
  <c r="F20" i="3" s="1"/>
  <c r="E28" i="3"/>
  <c r="F28" i="3" s="1"/>
  <c r="D6" i="3"/>
  <c r="F6" i="3" s="1"/>
  <c r="E17" i="3"/>
  <c r="F17" i="3" s="1"/>
  <c r="E12" i="3"/>
  <c r="F12" i="3" s="1"/>
  <c r="E38" i="3"/>
  <c r="F38" i="3" s="1"/>
  <c r="E25" i="3"/>
  <c r="F25" i="3" s="1"/>
  <c r="E16" i="3"/>
  <c r="F16" i="3" s="1"/>
  <c r="E27" i="3"/>
  <c r="F27" i="3" s="1"/>
  <c r="D26" i="3"/>
  <c r="F26" i="3" s="1"/>
  <c r="D33" i="3"/>
  <c r="F33" i="3" s="1"/>
  <c r="E23" i="3"/>
  <c r="F23" i="3" s="1"/>
  <c r="E7" i="3"/>
  <c r="F7" i="3" s="1"/>
  <c r="E51" i="3"/>
  <c r="F51" i="3" s="1"/>
  <c r="E46" i="3"/>
  <c r="F46" i="3" s="1"/>
  <c r="E37" i="3"/>
  <c r="F37" i="3" s="1"/>
  <c r="E34" i="3"/>
  <c r="F34" i="3" s="1"/>
  <c r="E52" i="3"/>
  <c r="F52" i="3" s="1"/>
  <c r="E50" i="3"/>
  <c r="F50" i="3" s="1"/>
  <c r="D47" i="3"/>
  <c r="F47" i="3" s="1"/>
  <c r="E4" i="3"/>
  <c r="F4" i="3" s="1"/>
  <c r="E9" i="3"/>
  <c r="F9" i="3" s="1"/>
  <c r="E11" i="3"/>
  <c r="F11" i="3" s="1"/>
  <c r="D21" i="3"/>
  <c r="F21" i="3" s="1"/>
  <c r="E43" i="3"/>
  <c r="F43" i="3" s="1"/>
  <c r="E49" i="3"/>
  <c r="F49" i="3" s="1"/>
  <c r="D29" i="3"/>
  <c r="F29" i="3" s="1"/>
  <c r="F39" i="3"/>
  <c r="F44" i="3"/>
  <c r="F22" i="3"/>
</calcChain>
</file>

<file path=xl/sharedStrings.xml><?xml version="1.0" encoding="utf-8"?>
<sst xmlns="http://schemas.openxmlformats.org/spreadsheetml/2006/main" count="52" uniqueCount="50">
  <si>
    <t>Ip (mA)</t>
  </si>
  <si>
    <t>kT (eV)</t>
  </si>
  <si>
    <t>Ip_1 (mA)</t>
  </si>
  <si>
    <t>Ip_2 (mA)</t>
  </si>
  <si>
    <t>V1 (V)</t>
  </si>
  <si>
    <t>V2(V)</t>
  </si>
  <si>
    <t>I0_1 (mA)</t>
  </si>
  <si>
    <t>I0_2 (mA)</t>
  </si>
  <si>
    <t>I (mA)</t>
  </si>
  <si>
    <t>n_1</t>
  </si>
  <si>
    <t>n_2</t>
  </si>
  <si>
    <t>n_1+n_2</t>
  </si>
  <si>
    <t>f</t>
  </si>
  <si>
    <t>1-f</t>
  </si>
  <si>
    <t>I_p1</t>
  </si>
  <si>
    <t>I_p2</t>
  </si>
  <si>
    <t>P1 (W)</t>
  </si>
  <si>
    <t>P2 (W)</t>
  </si>
  <si>
    <t>V (V)</t>
  </si>
  <si>
    <t>V2 (V)</t>
  </si>
  <si>
    <t>Isc (mA)</t>
  </si>
  <si>
    <t>u</t>
  </si>
  <si>
    <t>m1</t>
  </si>
  <si>
    <t>m2</t>
  </si>
  <si>
    <t>Voc (V)</t>
  </si>
  <si>
    <t>I_1</t>
  </si>
  <si>
    <t>I_2</t>
  </si>
  <si>
    <t>Ierror</t>
  </si>
  <si>
    <t>max. power point</t>
  </si>
  <si>
    <t>V1_sc</t>
  </si>
  <si>
    <t>solve for Isc:</t>
  </si>
  <si>
    <t>Vm (V)</t>
  </si>
  <si>
    <t>Im (mA)</t>
  </si>
  <si>
    <t>cell 1:</t>
  </si>
  <si>
    <t>V1m (V)</t>
  </si>
  <si>
    <t>I1m (mA)</t>
  </si>
  <si>
    <t>P1m (mW)</t>
  </si>
  <si>
    <t>Pm (mW)</t>
  </si>
  <si>
    <t>V2m (V)</t>
  </si>
  <si>
    <t>cell 2:</t>
  </si>
  <si>
    <t>I2m (mA)</t>
  </si>
  <si>
    <t>P2m (mW)</t>
  </si>
  <si>
    <t>I1 (mA)</t>
  </si>
  <si>
    <t>V1oc (V)</t>
  </si>
  <si>
    <t>I1sc (mA)</t>
  </si>
  <si>
    <t>V2oc (V)</t>
  </si>
  <si>
    <t>I2sc (mA)</t>
  </si>
  <si>
    <t>I2 (mA)</t>
  </si>
  <si>
    <t>V1c (V)</t>
  </si>
  <si>
    <t>V2c 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</si>
</sst>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"/>
    <numFmt numFmtId="166" formatCode="0.00000"/>
    <numFmt numFmtId="167" formatCode="0.00000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1" fontId="0" fillId="0" borderId="0" xfId="0" applyNumberFormat="1"/>
    <xf numFmtId="164" fontId="0" fillId="0" borderId="0" xfId="0" applyNumberFormat="1"/>
    <xf numFmtId="165" fontId="0" fillId="0" borderId="0" xfId="0" applyNumberFormat="1"/>
    <xf numFmtId="165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0" fontId="0" fillId="0" borderId="1" xfId="0" applyBorder="1"/>
    <xf numFmtId="11" fontId="0" fillId="0" borderId="1" xfId="0" applyNumberFormat="1" applyBorder="1"/>
    <xf numFmtId="2" fontId="0" fillId="0" borderId="0" xfId="0" applyNumberFormat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tandem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Sheet3!$F$3:$F$53</c:f>
              <c:numCache>
                <c:formatCode>0.0000</c:formatCode>
                <c:ptCount val="51"/>
                <c:pt idx="0">
                  <c:v>0</c:v>
                </c:pt>
                <c:pt idx="1">
                  <c:v>1.7216682915510126</c:v>
                </c:pt>
                <c:pt idx="2">
                  <c:v>1.7401917377986602</c:v>
                </c:pt>
                <c:pt idx="3">
                  <c:v>1.7512696609239886</c:v>
                </c:pt>
                <c:pt idx="4">
                  <c:v>1.7593023230404619</c:v>
                </c:pt>
                <c:pt idx="5">
                  <c:v>1.7656687593591678</c:v>
                </c:pt>
                <c:pt idx="6">
                  <c:v>1.770983250621508</c:v>
                </c:pt>
                <c:pt idx="7">
                  <c:v>1.7755734889004011</c:v>
                </c:pt>
                <c:pt idx="8">
                  <c:v>1.7796350901619045</c:v>
                </c:pt>
                <c:pt idx="9">
                  <c:v>1.783294241684843</c:v>
                </c:pt>
                <c:pt idx="10">
                  <c:v>1.7866371127073704</c:v>
                </c:pt>
                <c:pt idx="11">
                  <c:v>1.7897251724870364</c:v>
                </c:pt>
                <c:pt idx="12">
                  <c:v>1.7926038149115506</c:v>
                </c:pt>
                <c:pt idx="13">
                  <c:v>1.795307519033164</c:v>
                </c:pt>
                <c:pt idx="14">
                  <c:v>1.7978630916897091</c:v>
                </c:pt>
                <c:pt idx="15">
                  <c:v>1.80029178869373</c:v>
                </c:pt>
                <c:pt idx="16">
                  <c:v>1.8026107500332627</c:v>
                </c:pt>
                <c:pt idx="17">
                  <c:v>1.8048339992022857</c:v>
                </c:pt>
                <c:pt idx="18">
                  <c:v>1.8069731564522511</c:v>
                </c:pt>
                <c:pt idx="19">
                  <c:v>1.8090379589390069</c:v>
                </c:pt>
                <c:pt idx="20">
                  <c:v>1.8110366472913182</c:v>
                </c:pt>
                <c:pt idx="21">
                  <c:v>1.8129762577616158</c:v>
                </c:pt>
                <c:pt idx="22">
                  <c:v>1.8148628463473344</c:v>
                </c:pt>
                <c:pt idx="23">
                  <c:v>1.8167016630485211</c:v>
                </c:pt>
                <c:pt idx="24">
                  <c:v>1.8184972890085827</c:v>
                </c:pt>
                <c:pt idx="25">
                  <c:v>1.8202537456383059</c:v>
                </c:pt>
                <c:pt idx="26">
                  <c:v>1.8219745823222233</c:v>
                </c:pt>
                <c:pt idx="27">
                  <c:v>1.823662947561326</c:v>
                </c:pt>
                <c:pt idx="28">
                  <c:v>1.8253216471693063</c:v>
                </c:pt>
                <c:pt idx="29">
                  <c:v>1.8269531922502553</c:v>
                </c:pt>
                <c:pt idx="30">
                  <c:v>1.828559839037863</c:v>
                </c:pt>
                <c:pt idx="31">
                  <c:v>1.8301436221984095</c:v>
                </c:pt>
                <c:pt idx="32">
                  <c:v>1.8317063828434956</c:v>
                </c:pt>
                <c:pt idx="33">
                  <c:v>1.8332497922299154</c:v>
                </c:pt>
                <c:pt idx="34">
                  <c:v>1.8347753719197111</c:v>
                </c:pt>
                <c:pt idx="35">
                  <c:v>1.836284511016506</c:v>
                </c:pt>
                <c:pt idx="36">
                  <c:v>1.8377784809726485</c:v>
                </c:pt>
                <c:pt idx="37">
                  <c:v>1.8392584483668253</c:v>
                </c:pt>
                <c:pt idx="38">
                  <c:v>1.8407254859771398</c:v>
                </c:pt>
                <c:pt idx="39">
                  <c:v>1.8421805824155502</c:v>
                </c:pt>
                <c:pt idx="40">
                  <c:v>1.8436246505424139</c:v>
                </c:pt>
                <c:pt idx="41">
                  <c:v>1.8450585348420567</c:v>
                </c:pt>
                <c:pt idx="42">
                  <c:v>1.8464830179097613</c:v>
                </c:pt>
                <c:pt idx="43">
                  <c:v>1.8478988261757863</c:v>
                </c:pt>
                <c:pt idx="44">
                  <c:v>1.8493066349718055</c:v>
                </c:pt>
                <c:pt idx="45">
                  <c:v>1.8507070730285766</c:v>
                </c:pt>
                <c:pt idx="46">
                  <c:v>1.8521007264799667</c:v>
                </c:pt>
                <c:pt idx="47">
                  <c:v>1.8534881424371681</c:v>
                </c:pt>
                <c:pt idx="48">
                  <c:v>1.8548698321875055</c:v>
                </c:pt>
                <c:pt idx="49">
                  <c:v>1.856246274064397</c:v>
                </c:pt>
                <c:pt idx="50">
                  <c:v>1.8576179160284312</c:v>
                </c:pt>
              </c:numCache>
            </c:numRef>
          </c:xVal>
          <c:yVal>
            <c:numRef>
              <c:f>Sheet3!$C$3:$C$53</c:f>
              <c:numCache>
                <c:formatCode>0.0000</c:formatCode>
                <c:ptCount val="51"/>
                <c:pt idx="0">
                  <c:v>0.25123735303236977</c:v>
                </c:pt>
                <c:pt idx="1">
                  <c:v>0.24828362849663368</c:v>
                </c:pt>
                <c:pt idx="2">
                  <c:v>0.24527023476720577</c:v>
                </c:pt>
                <c:pt idx="3">
                  <c:v>0.2421959664464152</c:v>
                </c:pt>
                <c:pt idx="4">
                  <c:v>0.23905959378594285</c:v>
                </c:pt>
                <c:pt idx="5">
                  <c:v>0.23585986219490571</c:v>
                </c:pt>
                <c:pt idx="6">
                  <c:v>0.23259549173800367</c:v>
                </c:pt>
                <c:pt idx="7">
                  <c:v>0.22926517662352847</c:v>
                </c:pt>
                <c:pt idx="8">
                  <c:v>0.22586758468102947</c:v>
                </c:pt>
                <c:pt idx="9">
                  <c:v>0.22240135682842793</c:v>
                </c:pt>
                <c:pt idx="10">
                  <c:v>0.21886510652836572</c:v>
                </c:pt>
                <c:pt idx="11">
                  <c:v>0.21525741923357231</c:v>
                </c:pt>
                <c:pt idx="12">
                  <c:v>0.21157685182102651</c:v>
                </c:pt>
                <c:pt idx="13">
                  <c:v>0.20782193201468849</c:v>
                </c:pt>
                <c:pt idx="14">
                  <c:v>0.20399115779656946</c:v>
                </c:pt>
                <c:pt idx="15">
                  <c:v>0.20008299680590441</c:v>
                </c:pt>
                <c:pt idx="16">
                  <c:v>0.19609588572618769</c:v>
                </c:pt>
                <c:pt idx="17">
                  <c:v>0.19202822965982516</c:v>
                </c:pt>
                <c:pt idx="18">
                  <c:v>0.18787840149015417</c:v>
                </c:pt>
                <c:pt idx="19">
                  <c:v>0.18364474123057498</c:v>
                </c:pt>
                <c:pt idx="20">
                  <c:v>0.17932555536053432</c:v>
                </c:pt>
                <c:pt idx="21">
                  <c:v>0.17491911614809422</c:v>
                </c:pt>
                <c:pt idx="22">
                  <c:v>0.17042366095881631</c:v>
                </c:pt>
                <c:pt idx="23">
                  <c:v>0.1658373915506848</c:v>
                </c:pt>
                <c:pt idx="24">
                  <c:v>0.16115847335478531</c:v>
                </c:pt>
                <c:pt idx="25">
                  <c:v>0.1563850347414531</c:v>
                </c:pt>
                <c:pt idx="26">
                  <c:v>0.15151516627159611</c:v>
                </c:pt>
                <c:pt idx="27">
                  <c:v>0.14654691993289395</c:v>
                </c:pt>
                <c:pt idx="28">
                  <c:v>0.14147830836056699</c:v>
                </c:pt>
                <c:pt idx="29">
                  <c:v>0.13630730404240393</c:v>
                </c:pt>
                <c:pt idx="30">
                  <c:v>0.13103183850772981</c:v>
                </c:pt>
                <c:pt idx="31">
                  <c:v>0.1256498014999903</c:v>
                </c:pt>
                <c:pt idx="32">
                  <c:v>0.12015904013262088</c:v>
                </c:pt>
                <c:pt idx="33">
                  <c:v>0.11455735802786343</c:v>
                </c:pt>
                <c:pt idx="34">
                  <c:v>0.108842514438186</c:v>
                </c:pt>
                <c:pt idx="35">
                  <c:v>0.10301222334995379</c:v>
                </c:pt>
                <c:pt idx="36">
                  <c:v>9.7064152568993242E-2</c:v>
                </c:pt>
                <c:pt idx="37">
                  <c:v>9.0995922787683287E-2</c:v>
                </c:pt>
                <c:pt idx="38">
                  <c:v>8.4805106633200594E-2</c:v>
                </c:pt>
                <c:pt idx="39">
                  <c:v>7.8489227696538044E-2</c:v>
                </c:pt>
                <c:pt idx="40">
                  <c:v>7.2045759541908103E-2</c:v>
                </c:pt>
                <c:pt idx="41">
                  <c:v>6.5472124696134976E-2</c:v>
                </c:pt>
                <c:pt idx="42">
                  <c:v>5.8765693617630725E-2</c:v>
                </c:pt>
                <c:pt idx="43">
                  <c:v>5.1923783644543524E-2</c:v>
                </c:pt>
                <c:pt idx="44">
                  <c:v>4.494365792165754E-2</c:v>
                </c:pt>
                <c:pt idx="45">
                  <c:v>3.7822524305613982E-2</c:v>
                </c:pt>
                <c:pt idx="46">
                  <c:v>3.055753424801682E-2</c:v>
                </c:pt>
                <c:pt idx="47">
                  <c:v>2.3145781655975133E-2</c:v>
                </c:pt>
                <c:pt idx="48">
                  <c:v>1.558430172962747E-2</c:v>
                </c:pt>
                <c:pt idx="49">
                  <c:v>7.8700697761821693E-3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A-5746-AEAC-2496E8DF0B14}"/>
            </c:ext>
          </c:extLst>
        </c:ser>
        <c:ser>
          <c:idx val="2"/>
          <c:order val="1"/>
          <c:tx>
            <c:v>cell1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Sheet3!$G$3:$G$53</c:f>
              <c:numCache>
                <c:formatCode>0.0000</c:formatCode>
                <c:ptCount val="51"/>
                <c:pt idx="0">
                  <c:v>0</c:v>
                </c:pt>
                <c:pt idx="1">
                  <c:v>2.832598855619688E-2</c:v>
                </c:pt>
                <c:pt idx="2">
                  <c:v>5.665197711239376E-2</c:v>
                </c:pt>
                <c:pt idx="3">
                  <c:v>8.497796566859063E-2</c:v>
                </c:pt>
                <c:pt idx="4">
                  <c:v>0.11330395422478752</c:v>
                </c:pt>
                <c:pt idx="5">
                  <c:v>0.1416299427809844</c:v>
                </c:pt>
                <c:pt idx="6">
                  <c:v>0.16995593133718126</c:v>
                </c:pt>
                <c:pt idx="7">
                  <c:v>0.19828191989337818</c:v>
                </c:pt>
                <c:pt idx="8">
                  <c:v>0.22660790844957504</c:v>
                </c:pt>
                <c:pt idx="9">
                  <c:v>0.2549338970057719</c:v>
                </c:pt>
                <c:pt idx="10">
                  <c:v>0.28325988556196879</c:v>
                </c:pt>
                <c:pt idx="11">
                  <c:v>0.31158587411816568</c:v>
                </c:pt>
                <c:pt idx="12">
                  <c:v>0.33991186267436252</c:v>
                </c:pt>
                <c:pt idx="13">
                  <c:v>0.36823785123055947</c:v>
                </c:pt>
                <c:pt idx="14">
                  <c:v>0.39656383978675636</c:v>
                </c:pt>
                <c:pt idx="15">
                  <c:v>0.42488982834295319</c:v>
                </c:pt>
                <c:pt idx="16">
                  <c:v>0.45321581689915008</c:v>
                </c:pt>
                <c:pt idx="17">
                  <c:v>0.48154180545534697</c:v>
                </c:pt>
                <c:pt idx="18">
                  <c:v>0.50986779401154381</c:v>
                </c:pt>
                <c:pt idx="19">
                  <c:v>0.53819378256774075</c:v>
                </c:pt>
                <c:pt idx="20">
                  <c:v>0.56651977112393759</c:v>
                </c:pt>
                <c:pt idx="21">
                  <c:v>0.59484575968013442</c:v>
                </c:pt>
                <c:pt idx="22">
                  <c:v>0.62317174823633137</c:v>
                </c:pt>
                <c:pt idx="23">
                  <c:v>0.6514977367925282</c:v>
                </c:pt>
                <c:pt idx="24">
                  <c:v>0.67982372534872504</c:v>
                </c:pt>
                <c:pt idx="25">
                  <c:v>0.70814971390492198</c:v>
                </c:pt>
                <c:pt idx="26">
                  <c:v>0.73647570246111893</c:v>
                </c:pt>
                <c:pt idx="27">
                  <c:v>0.76480169101731577</c:v>
                </c:pt>
                <c:pt idx="28">
                  <c:v>0.79312767957351271</c:v>
                </c:pt>
                <c:pt idx="29">
                  <c:v>0.82145366812970944</c:v>
                </c:pt>
                <c:pt idx="30">
                  <c:v>0.84977965668590638</c:v>
                </c:pt>
                <c:pt idx="31">
                  <c:v>0.87810564524210322</c:v>
                </c:pt>
                <c:pt idx="32">
                  <c:v>0.90643163379830016</c:v>
                </c:pt>
                <c:pt idx="33">
                  <c:v>0.93475762235449711</c:v>
                </c:pt>
                <c:pt idx="34">
                  <c:v>0.96308361091069394</c:v>
                </c:pt>
                <c:pt idx="35">
                  <c:v>0.99140959946689089</c:v>
                </c:pt>
                <c:pt idx="36">
                  <c:v>1.0197355880230876</c:v>
                </c:pt>
                <c:pt idx="37">
                  <c:v>1.0480615765792844</c:v>
                </c:pt>
                <c:pt idx="38">
                  <c:v>1.0763875651354815</c:v>
                </c:pt>
                <c:pt idx="39">
                  <c:v>1.1047135536916783</c:v>
                </c:pt>
                <c:pt idx="40">
                  <c:v>1.1330395422478752</c:v>
                </c:pt>
                <c:pt idx="41">
                  <c:v>1.1613655308040722</c:v>
                </c:pt>
                <c:pt idx="42">
                  <c:v>1.1896915193602688</c:v>
                </c:pt>
                <c:pt idx="43">
                  <c:v>1.2180175079164659</c:v>
                </c:pt>
                <c:pt idx="44">
                  <c:v>1.2463434964726627</c:v>
                </c:pt>
                <c:pt idx="45">
                  <c:v>1.2746694850288596</c:v>
                </c:pt>
                <c:pt idx="46">
                  <c:v>1.3029954735850564</c:v>
                </c:pt>
                <c:pt idx="47">
                  <c:v>1.3313214621412535</c:v>
                </c:pt>
                <c:pt idx="48">
                  <c:v>1.3596474506974501</c:v>
                </c:pt>
                <c:pt idx="49">
                  <c:v>1.3879734392536471</c:v>
                </c:pt>
                <c:pt idx="50">
                  <c:v>1.416299427809844</c:v>
                </c:pt>
              </c:numCache>
            </c:numRef>
          </c:xVal>
          <c:yVal>
            <c:numRef>
              <c:f>Sheet3!$I$3:$I$53</c:f>
              <c:numCache>
                <c:formatCode>0.0000</c:formatCode>
                <c:ptCount val="51"/>
                <c:pt idx="0">
                  <c:v>0.74876258597887546</c:v>
                </c:pt>
                <c:pt idx="1">
                  <c:v>0.74876258597814771</c:v>
                </c:pt>
                <c:pt idx="2">
                  <c:v>0.74876258597689027</c:v>
                </c:pt>
                <c:pt idx="3">
                  <c:v>0.74876258597471768</c:v>
                </c:pt>
                <c:pt idx="4">
                  <c:v>0.74876258597096401</c:v>
                </c:pt>
                <c:pt idx="5">
                  <c:v>0.74876258596447853</c:v>
                </c:pt>
                <c:pt idx="6">
                  <c:v>0.74876258595327305</c:v>
                </c:pt>
                <c:pt idx="7">
                  <c:v>0.74876258593391243</c:v>
                </c:pt>
                <c:pt idx="8">
                  <c:v>0.74876258590046185</c:v>
                </c:pt>
                <c:pt idx="9">
                  <c:v>0.74876258584266664</c:v>
                </c:pt>
                <c:pt idx="10">
                  <c:v>0.74876258574280974</c:v>
                </c:pt>
                <c:pt idx="11">
                  <c:v>0.74876258557027942</c:v>
                </c:pt>
                <c:pt idx="12">
                  <c:v>0.7487625852721862</c:v>
                </c:pt>
                <c:pt idx="13">
                  <c:v>0.74876258475714852</c:v>
                </c:pt>
                <c:pt idx="14">
                  <c:v>0.7487625838672799</c:v>
                </c:pt>
                <c:pt idx="15">
                  <c:v>0.74876258232978821</c:v>
                </c:pt>
                <c:pt idx="16">
                  <c:v>0.74876257967335047</c:v>
                </c:pt>
                <c:pt idx="17">
                  <c:v>0.74876257508362676</c:v>
                </c:pt>
                <c:pt idx="18">
                  <c:v>0.74876256715362255</c:v>
                </c:pt>
                <c:pt idx="19">
                  <c:v>0.74876255345236897</c:v>
                </c:pt>
                <c:pt idx="20">
                  <c:v>0.74876252977970226</c:v>
                </c:pt>
                <c:pt idx="21">
                  <c:v>0.7487624888786889</c:v>
                </c:pt>
                <c:pt idx="22">
                  <c:v>0.74876241821098988</c:v>
                </c:pt>
                <c:pt idx="23">
                  <c:v>0.74876229611319145</c:v>
                </c:pt>
                <c:pt idx="24">
                  <c:v>0.74876208515581488</c:v>
                </c:pt>
                <c:pt idx="25">
                  <c:v>0.74876172066918789</c:v>
                </c:pt>
                <c:pt idx="26">
                  <c:v>0.74876109091874532</c:v>
                </c:pt>
                <c:pt idx="27">
                  <c:v>0.74876000285243349</c:v>
                </c:pt>
                <c:pt idx="28">
                  <c:v>0.74875812291997312</c:v>
                </c:pt>
                <c:pt idx="29">
                  <c:v>0.74875487482193248</c:v>
                </c:pt>
                <c:pt idx="30">
                  <c:v>0.74874926284325549</c:v>
                </c:pt>
                <c:pt idx="31">
                  <c:v>0.74873956661356156</c:v>
                </c:pt>
                <c:pt idx="32">
                  <c:v>0.74872281372199001</c:v>
                </c:pt>
                <c:pt idx="33">
                  <c:v>0.7486938685149489</c:v>
                </c:pt>
                <c:pt idx="34">
                  <c:v>0.74864385774474385</c:v>
                </c:pt>
                <c:pt idx="35">
                  <c:v>0.74855745044653565</c:v>
                </c:pt>
                <c:pt idx="36">
                  <c:v>0.74840815818102935</c:v>
                </c:pt>
                <c:pt idx="37">
                  <c:v>0.74815021491695088</c:v>
                </c:pt>
                <c:pt idx="38">
                  <c:v>0.74770454730478197</c:v>
                </c:pt>
                <c:pt idx="39">
                  <c:v>0.74693453448337388</c:v>
                </c:pt>
                <c:pt idx="40">
                  <c:v>0.74560412650903751</c:v>
                </c:pt>
                <c:pt idx="41">
                  <c:v>0.74330548247485018</c:v>
                </c:pt>
                <c:pt idx="42">
                  <c:v>0.73933394554946374</c:v>
                </c:pt>
                <c:pt idx="43">
                  <c:v>0.73247202812548817</c:v>
                </c:pt>
                <c:pt idx="44">
                  <c:v>0.72061618701962249</c:v>
                </c:pt>
                <c:pt idx="45">
                  <c:v>0.70013197544394612</c:v>
                </c:pt>
                <c:pt idx="46">
                  <c:v>0.66473989148041623</c:v>
                </c:pt>
                <c:pt idx="47">
                  <c:v>0.60359037627188594</c:v>
                </c:pt>
                <c:pt idx="48">
                  <c:v>0.49793784634199217</c:v>
                </c:pt>
                <c:pt idx="49">
                  <c:v>0.31539417379574786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01-CC45-801D-E0855B4C99FC}"/>
            </c:ext>
          </c:extLst>
        </c:ser>
        <c:ser>
          <c:idx val="3"/>
          <c:order val="2"/>
          <c:tx>
            <c:v>cell2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Sheet3!$H$3:$H$53</c:f>
              <c:numCache>
                <c:formatCode>0.0000</c:formatCode>
                <c:ptCount val="51"/>
                <c:pt idx="0">
                  <c:v>0</c:v>
                </c:pt>
                <c:pt idx="1">
                  <c:v>8.8263697643717453E-3</c:v>
                </c:pt>
                <c:pt idx="2">
                  <c:v>1.7652739528743491E-2</c:v>
                </c:pt>
                <c:pt idx="3">
                  <c:v>2.6479109293115231E-2</c:v>
                </c:pt>
                <c:pt idx="4">
                  <c:v>3.5305479057486981E-2</c:v>
                </c:pt>
                <c:pt idx="5">
                  <c:v>4.4131848821858721E-2</c:v>
                </c:pt>
                <c:pt idx="6">
                  <c:v>5.2958218586230461E-2</c:v>
                </c:pt>
                <c:pt idx="7">
                  <c:v>6.1784588350602215E-2</c:v>
                </c:pt>
                <c:pt idx="8">
                  <c:v>7.0610958114973962E-2</c:v>
                </c:pt>
                <c:pt idx="9">
                  <c:v>7.9437327879345696E-2</c:v>
                </c:pt>
                <c:pt idx="10">
                  <c:v>8.8263697643717443E-2</c:v>
                </c:pt>
                <c:pt idx="11">
                  <c:v>9.709006740808919E-2</c:v>
                </c:pt>
                <c:pt idx="12">
                  <c:v>0.10591643717246092</c:v>
                </c:pt>
                <c:pt idx="13">
                  <c:v>0.11474280693683268</c:v>
                </c:pt>
                <c:pt idx="14">
                  <c:v>0.12356917670120443</c:v>
                </c:pt>
                <c:pt idx="15">
                  <c:v>0.13239554646557616</c:v>
                </c:pt>
                <c:pt idx="16">
                  <c:v>0.14122191622994792</c:v>
                </c:pt>
                <c:pt idx="17">
                  <c:v>0.15004828599431966</c:v>
                </c:pt>
                <c:pt idx="18">
                  <c:v>0.15887465575869139</c:v>
                </c:pt>
                <c:pt idx="19">
                  <c:v>0.16770102552306315</c:v>
                </c:pt>
                <c:pt idx="20">
                  <c:v>0.17652739528743489</c:v>
                </c:pt>
                <c:pt idx="21">
                  <c:v>0.18535376505180662</c:v>
                </c:pt>
                <c:pt idx="22">
                  <c:v>0.19418013481617838</c:v>
                </c:pt>
                <c:pt idx="23">
                  <c:v>0.20300650458055014</c:v>
                </c:pt>
                <c:pt idx="24">
                  <c:v>0.21183287434492185</c:v>
                </c:pt>
                <c:pt idx="25">
                  <c:v>0.22065924410929361</c:v>
                </c:pt>
                <c:pt idx="26">
                  <c:v>0.22948561387366537</c:v>
                </c:pt>
                <c:pt idx="27">
                  <c:v>0.2383119836380371</c:v>
                </c:pt>
                <c:pt idx="28">
                  <c:v>0.24713835340240886</c:v>
                </c:pt>
                <c:pt idx="29">
                  <c:v>0.25596472316678054</c:v>
                </c:pt>
                <c:pt idx="30">
                  <c:v>0.26479109293115233</c:v>
                </c:pt>
                <c:pt idx="31">
                  <c:v>0.27361746269552406</c:v>
                </c:pt>
                <c:pt idx="32">
                  <c:v>0.28244383245989585</c:v>
                </c:pt>
                <c:pt idx="33">
                  <c:v>0.29127020222426758</c:v>
                </c:pt>
                <c:pt idx="34">
                  <c:v>0.30009657198863932</c:v>
                </c:pt>
                <c:pt idx="35">
                  <c:v>0.3089229417530111</c:v>
                </c:pt>
                <c:pt idx="36">
                  <c:v>0.31774931151738278</c:v>
                </c:pt>
                <c:pt idx="37">
                  <c:v>0.32657568128175452</c:v>
                </c:pt>
                <c:pt idx="38">
                  <c:v>0.3354020510461263</c:v>
                </c:pt>
                <c:pt idx="39">
                  <c:v>0.34422842081049804</c:v>
                </c:pt>
                <c:pt idx="40">
                  <c:v>0.35305479057486977</c:v>
                </c:pt>
                <c:pt idx="41">
                  <c:v>0.36188116033924156</c:v>
                </c:pt>
                <c:pt idx="42">
                  <c:v>0.37070753010361324</c:v>
                </c:pt>
                <c:pt idx="43">
                  <c:v>0.37953389986798497</c:v>
                </c:pt>
                <c:pt idx="44">
                  <c:v>0.38836026963235676</c:v>
                </c:pt>
                <c:pt idx="45">
                  <c:v>0.39718663939672849</c:v>
                </c:pt>
                <c:pt idx="46">
                  <c:v>0.40601300916110028</c:v>
                </c:pt>
                <c:pt idx="47">
                  <c:v>0.41483937892547201</c:v>
                </c:pt>
                <c:pt idx="48">
                  <c:v>0.42366574868984369</c:v>
                </c:pt>
                <c:pt idx="49">
                  <c:v>0.43249211845421548</c:v>
                </c:pt>
                <c:pt idx="50">
                  <c:v>0.44131848821858721</c:v>
                </c:pt>
              </c:numCache>
            </c:numRef>
          </c:xVal>
          <c:yVal>
            <c:numRef>
              <c:f>Sheet3!$J$3:$J$53</c:f>
              <c:numCache>
                <c:formatCode>0.0000</c:formatCode>
                <c:ptCount val="51"/>
                <c:pt idx="0">
                  <c:v>0.25123741402112454</c:v>
                </c:pt>
                <c:pt idx="1">
                  <c:v>0.25123740996059468</c:v>
                </c:pt>
                <c:pt idx="2">
                  <c:v>0.25123740425127455</c:v>
                </c:pt>
                <c:pt idx="3">
                  <c:v>0.25123739622366797</c:v>
                </c:pt>
                <c:pt idx="4">
                  <c:v>0.25123738493642778</c:v>
                </c:pt>
                <c:pt idx="5">
                  <c:v>0.25123736906597005</c:v>
                </c:pt>
                <c:pt idx="6">
                  <c:v>0.25123734675126552</c:v>
                </c:pt>
                <c:pt idx="7">
                  <c:v>0.25123731537560867</c:v>
                </c:pt>
                <c:pt idx="8">
                  <c:v>0.25123727125977263</c:v>
                </c:pt>
                <c:pt idx="9">
                  <c:v>0.25123720923056975</c:v>
                </c:pt>
                <c:pt idx="10">
                  <c:v>0.25123712201422393</c:v>
                </c:pt>
                <c:pt idx="11">
                  <c:v>0.25123699938342053</c:v>
                </c:pt>
                <c:pt idx="12">
                  <c:v>0.25123682695801336</c:v>
                </c:pt>
                <c:pt idx="13">
                  <c:v>0.25123658451875502</c:v>
                </c:pt>
                <c:pt idx="14">
                  <c:v>0.2512362436363122</c:v>
                </c:pt>
                <c:pt idx="15">
                  <c:v>0.25123576433753608</c:v>
                </c:pt>
                <c:pt idx="16">
                  <c:v>0.2512350904180613</c:v>
                </c:pt>
                <c:pt idx="17">
                  <c:v>0.25123414285157236</c:v>
                </c:pt>
                <c:pt idx="18">
                  <c:v>0.25123281052288238</c:v>
                </c:pt>
                <c:pt idx="19">
                  <c:v>0.25123093719815126</c:v>
                </c:pt>
                <c:pt idx="20">
                  <c:v>0.25122830320432171</c:v>
                </c:pt>
                <c:pt idx="21">
                  <c:v>0.251224599669436</c:v>
                </c:pt>
                <c:pt idx="22">
                  <c:v>0.25121939230315599</c:v>
                </c:pt>
                <c:pt idx="23">
                  <c:v>0.25121207047025551</c:v>
                </c:pt>
                <c:pt idx="24">
                  <c:v>0.25120177558525236</c:v>
                </c:pt>
                <c:pt idx="25">
                  <c:v>0.25118730043146648</c:v>
                </c:pt>
                <c:pt idx="26">
                  <c:v>0.25116694759828179</c:v>
                </c:pt>
                <c:pt idx="27">
                  <c:v>0.2511383304364353</c:v>
                </c:pt>
                <c:pt idx="28">
                  <c:v>0.25109809319060733</c:v>
                </c:pt>
                <c:pt idx="29">
                  <c:v>0.25104151749101467</c:v>
                </c:pt>
                <c:pt idx="30">
                  <c:v>0.25096196905974077</c:v>
                </c:pt>
                <c:pt idx="31">
                  <c:v>0.25085011975051963</c:v>
                </c:pt>
                <c:pt idx="32">
                  <c:v>0.25069285369545236</c:v>
                </c:pt>
                <c:pt idx="33">
                  <c:v>0.25047172928933253</c:v>
                </c:pt>
                <c:pt idx="34">
                  <c:v>0.25016081665811712</c:v>
                </c:pt>
                <c:pt idx="35">
                  <c:v>0.24972365702501487</c:v>
                </c:pt>
                <c:pt idx="36">
                  <c:v>0.24910898741809984</c:v>
                </c:pt>
                <c:pt idx="37">
                  <c:v>0.24824472938269077</c:v>
                </c:pt>
                <c:pt idx="38">
                  <c:v>0.2470295367924504</c:v>
                </c:pt>
                <c:pt idx="39">
                  <c:v>0.24532091162395409</c:v>
                </c:pt>
                <c:pt idx="40">
                  <c:v>0.24291849410605137</c:v>
                </c:pt>
                <c:pt idx="41">
                  <c:v>0.23954056778450175</c:v>
                </c:pt>
                <c:pt idx="42">
                  <c:v>0.2347910243979805</c:v>
                </c:pt>
                <c:pt idx="43">
                  <c:v>0.22811291474338635</c:v>
                </c:pt>
                <c:pt idx="44">
                  <c:v>0.21872313873137106</c:v>
                </c:pt>
                <c:pt idx="45">
                  <c:v>0.20552061614398545</c:v>
                </c:pt>
                <c:pt idx="46">
                  <c:v>0.18695716985438438</c:v>
                </c:pt>
                <c:pt idx="47">
                  <c:v>0.16085598079251923</c:v>
                </c:pt>
                <c:pt idx="48">
                  <c:v>0.12415632600778959</c:v>
                </c:pt>
                <c:pt idx="49">
                  <c:v>7.2554666860153633E-2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01-CC45-801D-E0855B4C99FC}"/>
            </c:ext>
          </c:extLst>
        </c:ser>
        <c:ser>
          <c:idx val="1"/>
          <c:order val="3"/>
          <c:tx>
            <c:v>Pmax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Sheet1!$C$20</c:f>
              <c:numCache>
                <c:formatCode>0.000000</c:formatCode>
                <c:ptCount val="1"/>
                <c:pt idx="0">
                  <c:v>1.7352448968700227</c:v>
                </c:pt>
              </c:numCache>
            </c:numRef>
          </c:xVal>
          <c:yVal>
            <c:numRef>
              <c:f>Sheet1!$C$21</c:f>
              <c:numCache>
                <c:formatCode>0.0000</c:formatCode>
                <c:ptCount val="1"/>
                <c:pt idx="0">
                  <c:v>0.24628773793762634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13-CC45-993C-B415932313D5}"/>
            </c:ext>
          </c:extLst>
        </c:ser>
        <c:ser>
          <c:idx val="4"/>
          <c:order val="4"/>
          <c:tx>
            <c:v>P1max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Sheet1!$F$6</c:f>
              <c:numCache>
                <c:formatCode>0.0000</c:formatCode>
                <c:ptCount val="1"/>
                <c:pt idx="0">
                  <c:v>1.2493175372053655</c:v>
                </c:pt>
              </c:numCache>
            </c:numRef>
          </c:xVal>
          <c:yVal>
            <c:numRef>
              <c:f>Sheet1!$F$7</c:f>
              <c:numCache>
                <c:formatCode>0.0000</c:formatCode>
                <c:ptCount val="1"/>
                <c:pt idx="0">
                  <c:v>0.71895290109338938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01-CC45-801D-E0855B4C99FC}"/>
            </c:ext>
          </c:extLst>
        </c:ser>
        <c:ser>
          <c:idx val="5"/>
          <c:order val="5"/>
          <c:tx>
            <c:v>P2max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Sheet1!$F$13</c:f>
              <c:numCache>
                <c:formatCode>0.0000</c:formatCode>
                <c:ptCount val="1"/>
                <c:pt idx="0">
                  <c:v>0.37064891906728153</c:v>
                </c:pt>
              </c:numCache>
            </c:numRef>
          </c:xVal>
          <c:yVal>
            <c:numRef>
              <c:f>Sheet1!$F$14</c:f>
              <c:numCache>
                <c:formatCode>0.0000</c:formatCode>
                <c:ptCount val="1"/>
                <c:pt idx="0">
                  <c:v>0.23482820009920632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01-CC45-801D-E0855B4C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919087"/>
        <c:axId val="1308920815"/>
      </c:scatterChart>
      <c:valAx>
        <c:axId val="130891908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20815"/>
        <c:crosses val="autoZero"/>
        <c:crossBetween val="midCat"/>
      </c:valAx>
      <c:valAx>
        <c:axId val="130892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 (mA)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19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26</xdr:row>
      <xdr:rowOff>0</xdr:rowOff>
    </xdr:from>
    <xdr:to>
      <xdr:col>6</xdr:col>
      <xdr:colOff>685800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673100</xdr:colOff>
          <xdr:row>20</xdr:row>
          <xdr:rowOff>127000</xdr:rowOff>
        </xdr:from>
        <xdr:to>
          <xdr:col>5</xdr:col>
          <xdr:colOff>546100</xdr:colOff>
          <xdr:row>22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16AEF61-94DE-6044-36CA-F73F6BB28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4093-DF6B-F344-A215-BF7E4431A2FB}">
  <sheetPr codeName="Sheet1"/>
  <dimension ref="A2:AP111"/>
  <sheetViews>
    <sheetView tabSelected="1" zoomScaleNormal="100" workbookViewId="0">
      <selection activeCell="F14" sqref="F14"/>
    </sheetView>
  </sheetViews>
  <sheetFormatPr baseColWidth="10" defaultRowHeight="16" x14ac:dyDescent="0.2"/>
  <cols>
    <col min="3" max="3" width="16" customWidth="1"/>
    <col min="8" max="8" width="19.1640625" customWidth="1"/>
  </cols>
  <sheetData>
    <row r="2" spans="1:42" x14ac:dyDescent="0.2">
      <c r="B2" t="s">
        <v>0</v>
      </c>
      <c r="C2" s="7">
        <v>1</v>
      </c>
    </row>
    <row r="3" spans="1:42" x14ac:dyDescent="0.2">
      <c r="B3" t="s">
        <v>1</v>
      </c>
      <c r="C3" s="7">
        <v>2.5899999999999999E-2</v>
      </c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x14ac:dyDescent="0.2">
      <c r="B4" t="s">
        <v>12</v>
      </c>
      <c r="C4" s="6">
        <f>Sheet3!M18</f>
        <v>0.25123741402112454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</row>
    <row r="5" spans="1:42" x14ac:dyDescent="0.2"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</row>
    <row r="6" spans="1:42" x14ac:dyDescent="0.2">
      <c r="A6" t="s">
        <v>33</v>
      </c>
      <c r="B6" t="s">
        <v>9</v>
      </c>
      <c r="C6" s="7">
        <v>2</v>
      </c>
      <c r="E6" t="s">
        <v>34</v>
      </c>
      <c r="F6" s="2">
        <f>C6*C3*LN((C8-F7)/C7+1)</f>
        <v>1.2493175372053655</v>
      </c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</row>
    <row r="7" spans="1:42" x14ac:dyDescent="0.2">
      <c r="B7" t="s">
        <v>6</v>
      </c>
      <c r="C7" s="8">
        <v>9.9999999999999998E-13</v>
      </c>
      <c r="E7" t="s">
        <v>35</v>
      </c>
      <c r="F7" s="2">
        <v>0.71895290109338938</v>
      </c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</row>
    <row r="8" spans="1:42" x14ac:dyDescent="0.2">
      <c r="B8" t="s">
        <v>2</v>
      </c>
      <c r="C8">
        <f>(1-C4)*C2</f>
        <v>0.74876258597887546</v>
      </c>
      <c r="E8" t="s">
        <v>36</v>
      </c>
      <c r="F8" s="2">
        <f>F6*F7</f>
        <v>0.89820046776064599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</row>
    <row r="9" spans="1:42" x14ac:dyDescent="0.2">
      <c r="B9" t="s">
        <v>4</v>
      </c>
      <c r="C9" s="3">
        <f>C6*C3*LN((C8-C21)/C7+1)</f>
        <v>1.3956376316585459</v>
      </c>
      <c r="E9" t="s">
        <v>43</v>
      </c>
      <c r="F9" s="2">
        <f>C6*C3*LN((C8-0)/C7+1)</f>
        <v>1.416299427809844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</row>
    <row r="10" spans="1:42" x14ac:dyDescent="0.2">
      <c r="B10" t="s">
        <v>16</v>
      </c>
      <c r="C10" s="2">
        <f>C9*C21</f>
        <v>0.34372843528180946</v>
      </c>
      <c r="E10" t="s">
        <v>44</v>
      </c>
      <c r="F10" s="2">
        <f>C8</f>
        <v>0.74876258597887546</v>
      </c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</row>
    <row r="11" spans="1:42" x14ac:dyDescent="0.2">
      <c r="C11" s="1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</row>
    <row r="12" spans="1:42" x14ac:dyDescent="0.2">
      <c r="C12" s="1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</row>
    <row r="13" spans="1:42" x14ac:dyDescent="0.2">
      <c r="A13" t="s">
        <v>39</v>
      </c>
      <c r="B13" t="s">
        <v>10</v>
      </c>
      <c r="C13" s="7">
        <v>1</v>
      </c>
      <c r="E13" t="s">
        <v>38</v>
      </c>
      <c r="F13" s="2">
        <f>C13*C3*LN((C15-F14)/C14+1)</f>
        <v>0.37064891906728153</v>
      </c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</row>
    <row r="14" spans="1:42" x14ac:dyDescent="0.2">
      <c r="B14" t="s">
        <v>7</v>
      </c>
      <c r="C14" s="8">
        <v>1E-8</v>
      </c>
      <c r="E14" t="s">
        <v>40</v>
      </c>
      <c r="F14" s="2">
        <v>0.23482820009920632</v>
      </c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</row>
    <row r="15" spans="1:42" x14ac:dyDescent="0.2">
      <c r="B15" t="s">
        <v>3</v>
      </c>
      <c r="C15">
        <f>C4*C2</f>
        <v>0.25123741402112454</v>
      </c>
      <c r="E15" t="s">
        <v>41</v>
      </c>
      <c r="F15" s="2">
        <f>F13*F14</f>
        <v>8.7038818533286114E-2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</row>
    <row r="16" spans="1:42" x14ac:dyDescent="0.2">
      <c r="B16" t="s">
        <v>5</v>
      </c>
      <c r="C16" s="3">
        <f>C13*C3*LN((C15-C21)/C14+1)</f>
        <v>0.33960726521147677</v>
      </c>
      <c r="E16" t="s">
        <v>45</v>
      </c>
      <c r="F16" s="2">
        <f>C13*C3*LN((C15-0)/C14+1)</f>
        <v>0.44131848821858721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</row>
    <row r="17" spans="2:42" x14ac:dyDescent="0.2">
      <c r="B17" t="s">
        <v>17</v>
      </c>
      <c r="C17">
        <f>C16*C21</f>
        <v>8.3641105136118166E-2</v>
      </c>
      <c r="E17" t="s">
        <v>46</v>
      </c>
      <c r="F17" s="2">
        <f>C15</f>
        <v>0.25123741402112454</v>
      </c>
    </row>
    <row r="18" spans="2:42" x14ac:dyDescent="0.2"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</row>
    <row r="19" spans="2:42" x14ac:dyDescent="0.2">
      <c r="B19" t="s">
        <v>28</v>
      </c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</row>
    <row r="20" spans="2:42" x14ac:dyDescent="0.2">
      <c r="B20" t="s">
        <v>31</v>
      </c>
      <c r="C20" s="3">
        <f>C9+C16</f>
        <v>1.7352448968700227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</row>
    <row r="21" spans="2:42" x14ac:dyDescent="0.2">
      <c r="B21" t="s">
        <v>32</v>
      </c>
      <c r="C21" s="10">
        <v>0.24628773793762634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</row>
    <row r="22" spans="2:42" x14ac:dyDescent="0.2">
      <c r="B22" t="s">
        <v>37</v>
      </c>
      <c r="C22" s="4">
        <f>C21*C20</f>
        <v>0.42736954041792763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</row>
    <row r="23" spans="2:42" x14ac:dyDescent="0.2"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</row>
    <row r="24" spans="2:42" x14ac:dyDescent="0.2">
      <c r="B24" t="s">
        <v>24</v>
      </c>
      <c r="C24" s="2">
        <f>C6*C3*LN((C8-0)/C7+1)+C13*C3*LN((C15-0)/C14+1)</f>
        <v>1.8576179160284312</v>
      </c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</row>
    <row r="25" spans="2:42" x14ac:dyDescent="0.2">
      <c r="B25" t="s">
        <v>20</v>
      </c>
      <c r="C25" s="2">
        <f>Sheet3!M21</f>
        <v>0.25123735303236977</v>
      </c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</row>
    <row r="26" spans="2:42" x14ac:dyDescent="0.2">
      <c r="B26" s="1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</row>
    <row r="27" spans="2:42" x14ac:dyDescent="0.2"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</row>
    <row r="28" spans="2:42" x14ac:dyDescent="0.2"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</row>
    <row r="29" spans="2:42" x14ac:dyDescent="0.2">
      <c r="C29" t="s">
        <v>30</v>
      </c>
      <c r="D29" t="s">
        <v>21</v>
      </c>
      <c r="E29" s="2">
        <v>53.865824223502685</v>
      </c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</row>
    <row r="30" spans="2:42" x14ac:dyDescent="0.2">
      <c r="D30" t="s">
        <v>27</v>
      </c>
      <c r="E30" s="9">
        <f>Sheet3!M21-Sheet3!M22</f>
        <v>-7.0988754763412487E-8</v>
      </c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</row>
    <row r="31" spans="2:42" x14ac:dyDescent="0.2"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</row>
    <row r="32" spans="2:42" x14ac:dyDescent="0.2"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</row>
    <row r="33" spans="8:39" x14ac:dyDescent="0.2"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</row>
    <row r="34" spans="8:39" x14ac:dyDescent="0.2"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8:39" x14ac:dyDescent="0.2">
      <c r="H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8:39" x14ac:dyDescent="0.2">
      <c r="H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8:39" x14ac:dyDescent="0.2">
      <c r="H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8:39" x14ac:dyDescent="0.2"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8:39" x14ac:dyDescent="0.2"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8:39" x14ac:dyDescent="0.2"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8:39" x14ac:dyDescent="0.2"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8:39" x14ac:dyDescent="0.2"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8:39" x14ac:dyDescent="0.2">
      <c r="H43" s="1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8:39" x14ac:dyDescent="0.2">
      <c r="H44" s="1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8:39" x14ac:dyDescent="0.2">
      <c r="H45" s="1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8:39" x14ac:dyDescent="0.2">
      <c r="H46" s="1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8:39" x14ac:dyDescent="0.2">
      <c r="H47" s="1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8:39" x14ac:dyDescent="0.2">
      <c r="H48" s="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8:39" x14ac:dyDescent="0.2">
      <c r="H49" s="1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8:39" x14ac:dyDescent="0.2">
      <c r="H50" s="1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8:39" x14ac:dyDescent="0.2">
      <c r="H51" s="1"/>
    </row>
    <row r="52" spans="8:39" x14ac:dyDescent="0.2">
      <c r="H52" s="1"/>
    </row>
    <row r="53" spans="8:39" x14ac:dyDescent="0.2">
      <c r="H53" s="1"/>
    </row>
    <row r="54" spans="8:39" x14ac:dyDescent="0.2">
      <c r="H54" s="1"/>
    </row>
    <row r="55" spans="8:39" x14ac:dyDescent="0.2">
      <c r="H55" s="1"/>
    </row>
    <row r="56" spans="8:39" x14ac:dyDescent="0.2">
      <c r="H56" s="1"/>
    </row>
    <row r="57" spans="8:39" x14ac:dyDescent="0.2">
      <c r="H57" s="1"/>
    </row>
    <row r="58" spans="8:39" x14ac:dyDescent="0.2">
      <c r="H58" s="1"/>
    </row>
    <row r="59" spans="8:39" x14ac:dyDescent="0.2">
      <c r="H59" s="1"/>
    </row>
    <row r="60" spans="8:39" x14ac:dyDescent="0.2">
      <c r="H60" s="1"/>
    </row>
    <row r="61" spans="8:39" x14ac:dyDescent="0.2">
      <c r="H61" s="1"/>
    </row>
    <row r="62" spans="8:39" x14ac:dyDescent="0.2">
      <c r="H62" s="1"/>
    </row>
    <row r="63" spans="8:39" x14ac:dyDescent="0.2">
      <c r="H63" s="1"/>
    </row>
    <row r="64" spans="8:39" x14ac:dyDescent="0.2">
      <c r="H64" s="1"/>
    </row>
    <row r="65" spans="8:8" x14ac:dyDescent="0.2">
      <c r="H65" s="1"/>
    </row>
    <row r="66" spans="8:8" x14ac:dyDescent="0.2">
      <c r="H66" s="1"/>
    </row>
    <row r="67" spans="8:8" x14ac:dyDescent="0.2">
      <c r="H67" s="1"/>
    </row>
    <row r="68" spans="8:8" x14ac:dyDescent="0.2">
      <c r="H68" s="1"/>
    </row>
    <row r="69" spans="8:8" x14ac:dyDescent="0.2">
      <c r="H69" s="1"/>
    </row>
    <row r="70" spans="8:8" x14ac:dyDescent="0.2">
      <c r="H70" s="1"/>
    </row>
    <row r="71" spans="8:8" x14ac:dyDescent="0.2">
      <c r="H71" s="1"/>
    </row>
    <row r="72" spans="8:8" x14ac:dyDescent="0.2">
      <c r="H72" s="1"/>
    </row>
    <row r="73" spans="8:8" x14ac:dyDescent="0.2">
      <c r="H73" s="1"/>
    </row>
    <row r="74" spans="8:8" x14ac:dyDescent="0.2">
      <c r="H74" s="1"/>
    </row>
    <row r="75" spans="8:8" x14ac:dyDescent="0.2">
      <c r="H75" s="1"/>
    </row>
    <row r="76" spans="8:8" x14ac:dyDescent="0.2">
      <c r="H76" s="1"/>
    </row>
    <row r="77" spans="8:8" x14ac:dyDescent="0.2">
      <c r="H77" s="1"/>
    </row>
    <row r="78" spans="8:8" x14ac:dyDescent="0.2">
      <c r="H78" s="1"/>
    </row>
    <row r="79" spans="8:8" x14ac:dyDescent="0.2">
      <c r="H79" s="1"/>
    </row>
    <row r="80" spans="8:8" x14ac:dyDescent="0.2">
      <c r="H80" s="1"/>
    </row>
    <row r="81" spans="8:8" x14ac:dyDescent="0.2">
      <c r="H81" s="1"/>
    </row>
    <row r="82" spans="8:8" x14ac:dyDescent="0.2">
      <c r="H82" s="1"/>
    </row>
    <row r="83" spans="8:8" x14ac:dyDescent="0.2">
      <c r="H83" s="1"/>
    </row>
    <row r="84" spans="8:8" x14ac:dyDescent="0.2">
      <c r="H84" s="1"/>
    </row>
    <row r="85" spans="8:8" x14ac:dyDescent="0.2">
      <c r="H85" s="1"/>
    </row>
    <row r="86" spans="8:8" x14ac:dyDescent="0.2">
      <c r="H86" s="1"/>
    </row>
    <row r="87" spans="8:8" x14ac:dyDescent="0.2">
      <c r="H87" s="1"/>
    </row>
    <row r="88" spans="8:8" x14ac:dyDescent="0.2">
      <c r="H88" s="1"/>
    </row>
    <row r="89" spans="8:8" x14ac:dyDescent="0.2">
      <c r="H89" s="1"/>
    </row>
    <row r="90" spans="8:8" x14ac:dyDescent="0.2">
      <c r="H90" s="1"/>
    </row>
    <row r="91" spans="8:8" x14ac:dyDescent="0.2">
      <c r="H91" s="1"/>
    </row>
    <row r="92" spans="8:8" x14ac:dyDescent="0.2">
      <c r="H92" s="1"/>
    </row>
    <row r="93" spans="8:8" x14ac:dyDescent="0.2">
      <c r="H93" s="1"/>
    </row>
    <row r="94" spans="8:8" x14ac:dyDescent="0.2">
      <c r="H94" s="1"/>
    </row>
    <row r="95" spans="8:8" x14ac:dyDescent="0.2">
      <c r="H95" s="1"/>
    </row>
    <row r="96" spans="8:8" x14ac:dyDescent="0.2">
      <c r="H96" s="1"/>
    </row>
    <row r="97" spans="8:8" x14ac:dyDescent="0.2">
      <c r="H97" s="1"/>
    </row>
    <row r="98" spans="8:8" x14ac:dyDescent="0.2">
      <c r="H98" s="1"/>
    </row>
    <row r="99" spans="8:8" x14ac:dyDescent="0.2">
      <c r="H99" s="1"/>
    </row>
    <row r="100" spans="8:8" x14ac:dyDescent="0.2">
      <c r="H100" s="1"/>
    </row>
    <row r="101" spans="8:8" x14ac:dyDescent="0.2">
      <c r="H101" s="1"/>
    </row>
    <row r="102" spans="8:8" x14ac:dyDescent="0.2">
      <c r="H102" s="1"/>
    </row>
    <row r="103" spans="8:8" x14ac:dyDescent="0.2">
      <c r="H103" s="1"/>
    </row>
    <row r="104" spans="8:8" x14ac:dyDescent="0.2">
      <c r="H104" s="1"/>
    </row>
    <row r="105" spans="8:8" x14ac:dyDescent="0.2">
      <c r="H105" s="1"/>
    </row>
    <row r="106" spans="8:8" x14ac:dyDescent="0.2">
      <c r="H106" s="1"/>
    </row>
    <row r="107" spans="8:8" x14ac:dyDescent="0.2">
      <c r="H107" s="1"/>
    </row>
    <row r="108" spans="8:8" x14ac:dyDescent="0.2">
      <c r="H108" s="1"/>
    </row>
    <row r="109" spans="8:8" x14ac:dyDescent="0.2">
      <c r="H109" s="1"/>
    </row>
    <row r="110" spans="8:8" x14ac:dyDescent="0.2">
      <c r="H110" s="1"/>
    </row>
    <row r="111" spans="8:8" x14ac:dyDescent="0.2">
      <c r="H11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ThisWorkbook.SolveAll">
                <anchor moveWithCells="1" sizeWithCells="1">
                  <from>
                    <xdr:col>3</xdr:col>
                    <xdr:colOff>673100</xdr:colOff>
                    <xdr:row>20</xdr:row>
                    <xdr:rowOff>127000</xdr:rowOff>
                  </from>
                  <to>
                    <xdr:col>5</xdr:col>
                    <xdr:colOff>546100</xdr:colOff>
                    <xdr:row>22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60853-FE37-FF4E-B326-E4F0DFBF5AC2}">
  <sheetPr codeName="Sheet3"/>
  <dimension ref="A2:M111"/>
  <sheetViews>
    <sheetView workbookViewId="0">
      <selection activeCell="L21" sqref="L21:M22"/>
    </sheetView>
  </sheetViews>
  <sheetFormatPr baseColWidth="10" defaultRowHeight="16" x14ac:dyDescent="0.2"/>
  <cols>
    <col min="1" max="1" width="12.1640625" bestFit="1" customWidth="1"/>
  </cols>
  <sheetData>
    <row r="2" spans="1:13" x14ac:dyDescent="0.2">
      <c r="C2" t="s">
        <v>8</v>
      </c>
      <c r="D2" t="s">
        <v>4</v>
      </c>
      <c r="E2" t="s">
        <v>19</v>
      </c>
      <c r="F2" t="s">
        <v>18</v>
      </c>
      <c r="G2" t="s">
        <v>48</v>
      </c>
      <c r="H2" t="s">
        <v>49</v>
      </c>
      <c r="I2" s="2" t="s">
        <v>42</v>
      </c>
      <c r="J2" t="s">
        <v>47</v>
      </c>
      <c r="L2" t="s">
        <v>11</v>
      </c>
      <c r="M2">
        <f>Sheet1!C6+Sheet1!C13</f>
        <v>3</v>
      </c>
    </row>
    <row r="3" spans="1:13" x14ac:dyDescent="0.2">
      <c r="A3">
        <v>0</v>
      </c>
      <c r="B3">
        <f t="shared" ref="B3:B34" si="0">1-(EXP(A3)-1)/(EXP(1)-1)</f>
        <v>1</v>
      </c>
      <c r="C3" s="2">
        <f>B3*Sheet1!C$25</f>
        <v>0.25123735303236977</v>
      </c>
      <c r="D3" s="2">
        <v>-0.55079349023591495</v>
      </c>
      <c r="E3" s="2">
        <f>F3-D3</f>
        <v>0.55079349023591495</v>
      </c>
      <c r="F3" s="2">
        <v>0</v>
      </c>
      <c r="G3" s="2">
        <f>A3*Sheet1!F$9</f>
        <v>0</v>
      </c>
      <c r="H3" s="2">
        <f>A3*Sheet1!F$16</f>
        <v>0</v>
      </c>
      <c r="I3" s="2">
        <f>Sheet1!C$8-Sheet1!C$7*(EXP(G3/Sheet1!C$6/Sheet1!C$3)-1)</f>
        <v>0.74876258597887546</v>
      </c>
      <c r="J3" s="2">
        <f>Sheet1!C$15-Sheet1!C$14*(EXP(H3/Sheet1!C$13/Sheet1!C$3)-1)</f>
        <v>0.25123741402112454</v>
      </c>
      <c r="L3" t="s">
        <v>22</v>
      </c>
      <c r="M3">
        <f>Sheet1!C6/M2</f>
        <v>0.66666666666666663</v>
      </c>
    </row>
    <row r="4" spans="1:13" x14ac:dyDescent="0.2">
      <c r="A4">
        <v>0.02</v>
      </c>
      <c r="B4">
        <f t="shared" si="0"/>
        <v>0.98824329065688121</v>
      </c>
      <c r="C4" s="2">
        <f>B4*Sheet1!C$25</f>
        <v>0.24828362849663368</v>
      </c>
      <c r="D4" s="2">
        <f>Sheet1!C$6*Sheet1!C$3*LN((Sheet1!C$8-C4)/Sheet1!C$7+1)</f>
        <v>1.3954314660966556</v>
      </c>
      <c r="E4" s="2">
        <f>Sheet1!C$13*Sheet1!C$3*LN((Sheet1!C$15-C4)/Sheet1!C$14+1)</f>
        <v>0.32623682545435706</v>
      </c>
      <c r="F4" s="2">
        <f t="shared" ref="F4:F35" si="1">D4+E4</f>
        <v>1.7216682915510126</v>
      </c>
      <c r="G4" s="2">
        <f>A4*Sheet1!F$9</f>
        <v>2.832598855619688E-2</v>
      </c>
      <c r="H4" s="2">
        <f>A4*Sheet1!F$16</f>
        <v>8.8263697643717453E-3</v>
      </c>
      <c r="I4" s="2">
        <f>Sheet1!C$8-Sheet1!C$7*(EXP(G4/Sheet1!C$6/Sheet1!C$3)-1)</f>
        <v>0.74876258597814771</v>
      </c>
      <c r="J4" s="2">
        <f>Sheet1!C$15-Sheet1!C$14*(EXP(H4/Sheet1!C$13/Sheet1!C$3)-1)</f>
        <v>0.25123740996059468</v>
      </c>
      <c r="L4" t="s">
        <v>23</v>
      </c>
      <c r="M4">
        <f>Sheet1!C13/M2</f>
        <v>0.33333333333333331</v>
      </c>
    </row>
    <row r="5" spans="1:13" x14ac:dyDescent="0.2">
      <c r="A5">
        <v>0.04</v>
      </c>
      <c r="B5">
        <f t="shared" si="0"/>
        <v>0.97624908003072619</v>
      </c>
      <c r="C5" s="2">
        <f>B5*Sheet1!C$25</f>
        <v>0.24527023476720577</v>
      </c>
      <c r="D5" s="2">
        <f>Sheet1!C$6*Sheet1!C$3*LN((Sheet1!C$8-C5)/Sheet1!C$7+1)</f>
        <v>1.3957424197316382</v>
      </c>
      <c r="E5" s="2">
        <f>Sheet1!C$13*Sheet1!C$3*LN((Sheet1!C$15-C5)/Sheet1!C$14+1)</f>
        <v>0.34444931806702206</v>
      </c>
      <c r="F5" s="2">
        <f t="shared" si="1"/>
        <v>1.7401917377986602</v>
      </c>
      <c r="G5" s="2">
        <f>A5*Sheet1!F$9</f>
        <v>5.665197711239376E-2</v>
      </c>
      <c r="H5" s="2">
        <f>A5*Sheet1!F$16</f>
        <v>1.7652739528743491E-2</v>
      </c>
      <c r="I5" s="2">
        <f>Sheet1!C$8-Sheet1!C$7*(EXP(G5/Sheet1!C$6/Sheet1!C$3)-1)</f>
        <v>0.74876258597689027</v>
      </c>
      <c r="J5" s="2">
        <f>Sheet1!C$15-Sheet1!C$14*(EXP(H5/Sheet1!C$13/Sheet1!C$3)-1)</f>
        <v>0.25123740425127455</v>
      </c>
    </row>
    <row r="6" spans="1:13" x14ac:dyDescent="0.2">
      <c r="A6">
        <v>0.06</v>
      </c>
      <c r="B6">
        <f t="shared" si="0"/>
        <v>0.96401257027735976</v>
      </c>
      <c r="C6" s="2">
        <f>B6*Sheet1!C$25</f>
        <v>0.2421959664464152</v>
      </c>
      <c r="D6" s="2">
        <f>Sheet1!C$6*Sheet1!C$3*LN((Sheet1!C$8-C6)/Sheet1!C$7+1)</f>
        <v>1.3960577430847834</v>
      </c>
      <c r="E6" s="2">
        <f>Sheet1!C$13*Sheet1!C$3*LN((Sheet1!C$15-C6)/Sheet1!C$14+1)</f>
        <v>0.35521191783920525</v>
      </c>
      <c r="F6" s="2">
        <f t="shared" si="1"/>
        <v>1.7512696609239886</v>
      </c>
      <c r="G6" s="2">
        <f>A6*Sheet1!F$9</f>
        <v>8.497796566859063E-2</v>
      </c>
      <c r="H6" s="2">
        <f>A6*Sheet1!F$16</f>
        <v>2.6479109293115231E-2</v>
      </c>
      <c r="I6" s="2">
        <f>Sheet1!C$8-Sheet1!C$7*(EXP(G6/Sheet1!C$6/Sheet1!C$3)-1)</f>
        <v>0.74876258597471768</v>
      </c>
      <c r="J6" s="2">
        <f>Sheet1!C$15-Sheet1!C$14*(EXP(H6/Sheet1!C$13/Sheet1!C$3)-1)</f>
        <v>0.25123739622366797</v>
      </c>
      <c r="L6">
        <f>1-L13</f>
        <v>0.66666666666666674</v>
      </c>
      <c r="M6">
        <f>L6*Sheet1!C2</f>
        <v>0.66666666666666674</v>
      </c>
    </row>
    <row r="7" spans="1:13" x14ac:dyDescent="0.2">
      <c r="A7">
        <v>0.08</v>
      </c>
      <c r="B7">
        <f t="shared" si="0"/>
        <v>0.9515288666297248</v>
      </c>
      <c r="C7" s="2">
        <f>B7*Sheet1!C$25</f>
        <v>0.23905959378594285</v>
      </c>
      <c r="D7" s="2">
        <f>Sheet1!C$6*Sheet1!C$3*LN((Sheet1!C$8-C7)/Sheet1!C$7+1)</f>
        <v>1.3963774704833625</v>
      </c>
      <c r="E7" s="2">
        <f>Sheet1!C$13*Sheet1!C$3*LN((Sheet1!C$15-C7)/Sheet1!C$14+1)</f>
        <v>0.36292485255709944</v>
      </c>
      <c r="F7" s="2">
        <f t="shared" si="1"/>
        <v>1.7593023230404619</v>
      </c>
      <c r="G7" s="2">
        <f>A7*Sheet1!F$9</f>
        <v>0.11330395422478752</v>
      </c>
      <c r="H7" s="2">
        <f>A7*Sheet1!F$16</f>
        <v>3.5305479057486981E-2</v>
      </c>
      <c r="I7" s="2">
        <f>Sheet1!C$8-Sheet1!C$7*(EXP(G7/Sheet1!C$6/Sheet1!C$3)-1)</f>
        <v>0.74876258597096401</v>
      </c>
      <c r="J7" s="2">
        <f>Sheet1!C$15-Sheet1!C$14*(EXP(H7/Sheet1!C$13/Sheet1!C$3)-1)</f>
        <v>0.25123738493642778</v>
      </c>
      <c r="L7">
        <f t="shared" ref="L7:M9" si="2">-L14</f>
        <v>0.33333333333333331</v>
      </c>
      <c r="M7" s="5">
        <f t="shared" si="2"/>
        <v>8.2095912645875443E-2</v>
      </c>
    </row>
    <row r="8" spans="1:13" x14ac:dyDescent="0.2">
      <c r="A8">
        <v>0.1</v>
      </c>
      <c r="B8">
        <f t="shared" si="0"/>
        <v>0.9387929754399108</v>
      </c>
      <c r="C8" s="2">
        <f>B8*Sheet1!C$25</f>
        <v>0.23585986219490571</v>
      </c>
      <c r="D8" s="2">
        <f>Sheet1!C$6*Sheet1!C$3*LN((Sheet1!C$8-C8)/Sheet1!C$7+1)</f>
        <v>1.3967016357696476</v>
      </c>
      <c r="E8" s="2">
        <f>Sheet1!C$13*Sheet1!C$3*LN((Sheet1!C$15-C8)/Sheet1!C$14+1)</f>
        <v>0.36896712358952033</v>
      </c>
      <c r="F8" s="2">
        <f t="shared" si="1"/>
        <v>1.7656687593591678</v>
      </c>
      <c r="G8" s="2">
        <f>A8*Sheet1!F$9</f>
        <v>0.1416299427809844</v>
      </c>
      <c r="H8" s="2">
        <f>A8*Sheet1!F$16</f>
        <v>4.4131848821858721E-2</v>
      </c>
      <c r="I8" s="2">
        <f>Sheet1!C$8-Sheet1!C$7*(EXP(G8/Sheet1!C$6/Sheet1!C$3)-1)</f>
        <v>0.74876258596447853</v>
      </c>
      <c r="J8" s="2">
        <f>Sheet1!C$15-Sheet1!C$14*(EXP(H8/Sheet1!C$13/Sheet1!C$3)-1)</f>
        <v>0.25123736906597005</v>
      </c>
      <c r="L8">
        <f t="shared" si="2"/>
        <v>-0.33333333333333331</v>
      </c>
      <c r="M8" s="1">
        <f t="shared" si="2"/>
        <v>-3.3333333333333329E-13</v>
      </c>
    </row>
    <row r="9" spans="1:13" x14ac:dyDescent="0.2">
      <c r="A9">
        <v>0.12</v>
      </c>
      <c r="B9">
        <f t="shared" si="0"/>
        <v>0.92579980218162761</v>
      </c>
      <c r="C9" s="2">
        <f>B9*Sheet1!C$25</f>
        <v>0.23259549173800367</v>
      </c>
      <c r="D9" s="2">
        <f>Sheet1!C$6*Sheet1!C$3*LN((Sheet1!C$8-C9)/Sheet1!C$7+1)</f>
        <v>1.3970302722797925</v>
      </c>
      <c r="E9" s="2">
        <f>Sheet1!C$13*Sheet1!C$3*LN((Sheet1!C$15-C9)/Sheet1!C$14+1)</f>
        <v>0.37395297834171548</v>
      </c>
      <c r="F9" s="2">
        <f t="shared" si="1"/>
        <v>1.770983250621508</v>
      </c>
      <c r="G9" s="2">
        <f>A9*Sheet1!F$9</f>
        <v>0.16995593133718126</v>
      </c>
      <c r="H9" s="2">
        <f>A9*Sheet1!F$16</f>
        <v>5.2958218586230461E-2</v>
      </c>
      <c r="I9" s="2">
        <f>Sheet1!C$8-Sheet1!C$7*(EXP(G9/Sheet1!C$6/Sheet1!C$3)-1)</f>
        <v>0.74876258595327305</v>
      </c>
      <c r="J9" s="2">
        <f>Sheet1!C$15-Sheet1!C$14*(EXP(H9/Sheet1!C$13/Sheet1!C$3)-1)</f>
        <v>0.25123734675126552</v>
      </c>
      <c r="L9">
        <f t="shared" si="2"/>
        <v>0.66666666666666663</v>
      </c>
      <c r="M9" s="1">
        <f t="shared" si="2"/>
        <v>6.6666666666666668E-9</v>
      </c>
    </row>
    <row r="10" spans="1:13" x14ac:dyDescent="0.2">
      <c r="A10">
        <v>0.14000000000000001</v>
      </c>
      <c r="B10">
        <f t="shared" si="0"/>
        <v>0.91254414941232731</v>
      </c>
      <c r="C10" s="2">
        <f>B10*Sheet1!C$25</f>
        <v>0.22926517662352847</v>
      </c>
      <c r="D10" s="2">
        <f>Sheet1!C$6*Sheet1!C$3*LN((Sheet1!C$8-C10)/Sheet1!C$7+1)</f>
        <v>1.3973634128227697</v>
      </c>
      <c r="E10" s="2">
        <f>Sheet1!C$13*Sheet1!C$3*LN((Sheet1!C$15-C10)/Sheet1!C$14+1)</f>
        <v>0.37821007607763135</v>
      </c>
      <c r="F10" s="2">
        <f t="shared" si="1"/>
        <v>1.7755734889004011</v>
      </c>
      <c r="G10" s="2">
        <f>A10*Sheet1!F$9</f>
        <v>0.19828191989337818</v>
      </c>
      <c r="H10" s="2">
        <f>A10*Sheet1!F$16</f>
        <v>6.1784588350602215E-2</v>
      </c>
      <c r="I10" s="2">
        <f>Sheet1!C$8-Sheet1!C$7*(EXP(G10/Sheet1!C$6/Sheet1!C$3)-1)</f>
        <v>0.74876258593391243</v>
      </c>
      <c r="J10" s="2">
        <f>Sheet1!C$15-Sheet1!C$14*(EXP(H10/Sheet1!C$13/Sheet1!C$3)-1)</f>
        <v>0.25123731537560867</v>
      </c>
      <c r="L10" t="s">
        <v>14</v>
      </c>
      <c r="M10">
        <f>SUM(M6:M9)</f>
        <v>0.74876258597887557</v>
      </c>
    </row>
    <row r="11" spans="1:13" x14ac:dyDescent="0.2">
      <c r="A11">
        <v>0.16</v>
      </c>
      <c r="B11">
        <f t="shared" si="0"/>
        <v>0.89902071469415767</v>
      </c>
      <c r="C11" s="2">
        <f>B11*Sheet1!C$25</f>
        <v>0.22586758468102947</v>
      </c>
      <c r="D11" s="2">
        <f>Sheet1!C$6*Sheet1!C$3*LN((Sheet1!C$8-C11)/Sheet1!C$7+1)</f>
        <v>1.3977010896593864</v>
      </c>
      <c r="E11" s="2">
        <f>Sheet1!C$13*Sheet1!C$3*LN((Sheet1!C$15-C11)/Sheet1!C$14+1)</f>
        <v>0.38193400050251797</v>
      </c>
      <c r="F11" s="2">
        <f t="shared" si="1"/>
        <v>1.7796350901619045</v>
      </c>
      <c r="G11" s="2">
        <f>A11*Sheet1!F$9</f>
        <v>0.22660790844957504</v>
      </c>
      <c r="H11" s="2">
        <f>A11*Sheet1!F$16</f>
        <v>7.0610958114973962E-2</v>
      </c>
      <c r="I11" s="2">
        <f>Sheet1!C$8-Sheet1!C$7*(EXP(G11/Sheet1!C$6/Sheet1!C$3)-1)</f>
        <v>0.74876258590046185</v>
      </c>
      <c r="J11" s="2">
        <f>Sheet1!C$15-Sheet1!C$14*(EXP(H11/Sheet1!C$13/Sheet1!C$3)-1)</f>
        <v>0.25123727125977263</v>
      </c>
      <c r="L11" s="1" t="s">
        <v>13</v>
      </c>
      <c r="M11" s="6">
        <f>1-M18</f>
        <v>0.74876258597887546</v>
      </c>
    </row>
    <row r="12" spans="1:13" x14ac:dyDescent="0.2">
      <c r="A12">
        <v>0.18</v>
      </c>
      <c r="B12">
        <f t="shared" si="0"/>
        <v>0.88522408847291678</v>
      </c>
      <c r="C12" s="2">
        <f>B12*Sheet1!C$25</f>
        <v>0.22240135682842793</v>
      </c>
      <c r="D12" s="2">
        <f>Sheet1!C$6*Sheet1!C$3*LN((Sheet1!C$8-C12)/Sheet1!C$7+1)</f>
        <v>1.3980433344814118</v>
      </c>
      <c r="E12" s="2">
        <f>Sheet1!C$13*Sheet1!C$3*LN((Sheet1!C$15-C12)/Sheet1!C$14+1)</f>
        <v>0.38525090720343119</v>
      </c>
      <c r="F12" s="2">
        <f t="shared" si="1"/>
        <v>1.783294241684843</v>
      </c>
      <c r="G12" s="2">
        <f>A12*Sheet1!F$9</f>
        <v>0.2549338970057719</v>
      </c>
      <c r="H12" s="2">
        <f>A12*Sheet1!F$16</f>
        <v>7.9437327879345696E-2</v>
      </c>
      <c r="I12" s="2">
        <f>Sheet1!C$8-Sheet1!C$7*(EXP(G12/Sheet1!C$6/Sheet1!C$3)-1)</f>
        <v>0.74876258584266664</v>
      </c>
      <c r="J12" s="2">
        <f>Sheet1!C$15-Sheet1!C$14*(EXP(H12/Sheet1!C$13/Sheet1!C$3)-1)</f>
        <v>0.25123720923056975</v>
      </c>
    </row>
    <row r="13" spans="1:13" x14ac:dyDescent="0.2">
      <c r="A13">
        <v>0.2</v>
      </c>
      <c r="B13">
        <f t="shared" si="0"/>
        <v>0.87114875191415841</v>
      </c>
      <c r="C13" s="2">
        <f>B13*Sheet1!C$25</f>
        <v>0.21886510652836572</v>
      </c>
      <c r="D13" s="2">
        <f>Sheet1!C$6*Sheet1!C$3*LN((Sheet1!C$8-C13)/Sheet1!C$7+1)</f>
        <v>1.3983901783908352</v>
      </c>
      <c r="E13" s="2">
        <f>Sheet1!C$13*Sheet1!C$3*LN((Sheet1!C$15-C13)/Sheet1!C$14+1)</f>
        <v>0.38824693431653517</v>
      </c>
      <c r="F13" s="2">
        <f t="shared" si="1"/>
        <v>1.7866371127073704</v>
      </c>
      <c r="G13" s="2">
        <f>A13*Sheet1!F$9</f>
        <v>0.28325988556196879</v>
      </c>
      <c r="H13" s="2">
        <f>A13*Sheet1!F$16</f>
        <v>8.8263697643717443E-2</v>
      </c>
      <c r="I13" s="2">
        <f>Sheet1!C$8-Sheet1!C$7*(EXP(G13/Sheet1!C$6/Sheet1!C$3)-1)</f>
        <v>0.74876258574280974</v>
      </c>
      <c r="J13" s="2">
        <f>Sheet1!C$15-Sheet1!C$14*(EXP(H13/Sheet1!C$13/Sheet1!C$3)-1)</f>
        <v>0.25123712201422393</v>
      </c>
      <c r="L13">
        <f>M4</f>
        <v>0.33333333333333331</v>
      </c>
      <c r="M13">
        <f>L13*Ip_mA</f>
        <v>0.33333333333333331</v>
      </c>
    </row>
    <row r="14" spans="1:13" x14ac:dyDescent="0.2">
      <c r="A14">
        <v>0.22</v>
      </c>
      <c r="B14">
        <f t="shared" si="0"/>
        <v>0.85678907469558574</v>
      </c>
      <c r="C14" s="2">
        <f>B14*Sheet1!C$25</f>
        <v>0.21525741923357231</v>
      </c>
      <c r="D14" s="2">
        <f>Sheet1!C$6*Sheet1!C$3*LN((Sheet1!C$8-C14)/Sheet1!C$7+1)</f>
        <v>1.3987416518792855</v>
      </c>
      <c r="E14" s="2">
        <f>Sheet1!C$13*Sheet1!C$3*LN((Sheet1!C$15-C14)/Sheet1!C$14+1)</f>
        <v>0.39098352060775093</v>
      </c>
      <c r="F14" s="2">
        <f t="shared" si="1"/>
        <v>1.7897251724870364</v>
      </c>
      <c r="G14" s="2">
        <f>A14*Sheet1!F$9</f>
        <v>0.31158587411816568</v>
      </c>
      <c r="H14" s="2">
        <f>A14*Sheet1!F$16</f>
        <v>9.709006740808919E-2</v>
      </c>
      <c r="I14" s="2">
        <f>Sheet1!C$8-Sheet1!C$7*(EXP(G14/Sheet1!C$6/Sheet1!C$3)-1)</f>
        <v>0.74876258557027942</v>
      </c>
      <c r="J14" s="2">
        <f>Sheet1!C$15-Sheet1!C$14*(EXP(H14/Sheet1!C$13/Sheet1!C$3)-1)</f>
        <v>0.25123699938342053</v>
      </c>
      <c r="L14">
        <f>M4-M3</f>
        <v>-0.33333333333333331</v>
      </c>
      <c r="M14" s="5">
        <f>L14*Im_mA</f>
        <v>-8.2095912645875443E-2</v>
      </c>
    </row>
    <row r="15" spans="1:13" x14ac:dyDescent="0.2">
      <c r="A15">
        <v>0.24</v>
      </c>
      <c r="B15">
        <f t="shared" si="0"/>
        <v>0.84213931275484599</v>
      </c>
      <c r="C15" s="2">
        <f>B15*Sheet1!C$25</f>
        <v>0.21157685182102651</v>
      </c>
      <c r="D15" s="2">
        <f>Sheet1!C$6*Sheet1!C$3*LN((Sheet1!C$8-C15)/Sheet1!C$7+1)</f>
        <v>1.3990977848076358</v>
      </c>
      <c r="E15" s="2">
        <f>Sheet1!C$13*Sheet1!C$3*LN((Sheet1!C$15-C15)/Sheet1!C$14+1)</f>
        <v>0.39350603010391488</v>
      </c>
      <c r="F15" s="2">
        <f t="shared" si="1"/>
        <v>1.7926038149115506</v>
      </c>
      <c r="G15" s="2">
        <f>A15*Sheet1!F$9</f>
        <v>0.33991186267436252</v>
      </c>
      <c r="H15" s="2">
        <f>A15*Sheet1!F$16</f>
        <v>0.10591643717246092</v>
      </c>
      <c r="I15" s="2">
        <f>Sheet1!C$8-Sheet1!C$7*(EXP(G15/Sheet1!C$6/Sheet1!C$3)-1)</f>
        <v>0.7487625852721862</v>
      </c>
      <c r="J15" s="2">
        <f>Sheet1!C$15-Sheet1!C$14*(EXP(H15/Sheet1!C$13/Sheet1!C$3)-1)</f>
        <v>0.25123682695801336</v>
      </c>
      <c r="L15">
        <f>M4</f>
        <v>0.33333333333333331</v>
      </c>
      <c r="M15" s="1">
        <f>L15*I0_1_mA</f>
        <v>3.3333333333333329E-13</v>
      </c>
    </row>
    <row r="16" spans="1:13" x14ac:dyDescent="0.2">
      <c r="A16">
        <v>0.26</v>
      </c>
      <c r="B16">
        <f t="shared" si="0"/>
        <v>0.82719360599183045</v>
      </c>
      <c r="C16" s="2">
        <f>B16*Sheet1!C$25</f>
        <v>0.20782193201468849</v>
      </c>
      <c r="D16" s="2">
        <f>Sheet1!C$6*Sheet1!C$3*LN((Sheet1!C$8-C16)/Sheet1!C$7+1)</f>
        <v>1.399458606385823</v>
      </c>
      <c r="E16" s="2">
        <f>Sheet1!C$13*Sheet1!C$3*LN((Sheet1!C$15-C16)/Sheet1!C$14+1)</f>
        <v>0.39584891264734101</v>
      </c>
      <c r="F16" s="2">
        <f t="shared" si="1"/>
        <v>1.795307519033164</v>
      </c>
      <c r="G16" s="2">
        <f>A16*Sheet1!F$9</f>
        <v>0.36823785123055947</v>
      </c>
      <c r="H16" s="2">
        <f>A16*Sheet1!F$16</f>
        <v>0.11474280693683268</v>
      </c>
      <c r="I16" s="2">
        <f>Sheet1!C$8-Sheet1!C$7*(EXP(G16/Sheet1!C$6/Sheet1!C$3)-1)</f>
        <v>0.74876258475714852</v>
      </c>
      <c r="J16" s="2">
        <f>Sheet1!C$15-Sheet1!C$14*(EXP(H16/Sheet1!C$13/Sheet1!C$3)-1)</f>
        <v>0.25123658451875502</v>
      </c>
      <c r="L16">
        <f>-M3</f>
        <v>-0.66666666666666663</v>
      </c>
      <c r="M16" s="1">
        <f>L16*I0_2_mA</f>
        <v>-6.6666666666666668E-9</v>
      </c>
    </row>
    <row r="17" spans="1:13" x14ac:dyDescent="0.2">
      <c r="A17">
        <v>0.28000000000000003</v>
      </c>
      <c r="B17">
        <f t="shared" si="0"/>
        <v>0.81194597592455509</v>
      </c>
      <c r="C17" s="2">
        <f>B17*Sheet1!C$25</f>
        <v>0.20399115779656946</v>
      </c>
      <c r="D17" s="2">
        <f>Sheet1!C$6*Sheet1!C$3*LN((Sheet1!C$8-C17)/Sheet1!C$7+1)</f>
        <v>1.3998241451529059</v>
      </c>
      <c r="E17" s="2">
        <f>Sheet1!C$13*Sheet1!C$3*LN((Sheet1!C$15-C17)/Sheet1!C$14+1)</f>
        <v>0.39803894653680316</v>
      </c>
      <c r="F17" s="2">
        <f t="shared" si="1"/>
        <v>1.7978630916897091</v>
      </c>
      <c r="G17" s="2">
        <f>A17*Sheet1!F$9</f>
        <v>0.39656383978675636</v>
      </c>
      <c r="H17" s="2">
        <f>A17*Sheet1!F$16</f>
        <v>0.12356917670120443</v>
      </c>
      <c r="I17" s="2">
        <f>Sheet1!C$8-Sheet1!C$7*(EXP(G17/Sheet1!C$6/Sheet1!C$3)-1)</f>
        <v>0.7487625838672799</v>
      </c>
      <c r="J17" s="2">
        <f>Sheet1!C$15-Sheet1!C$14*(EXP(H17/Sheet1!C$13/Sheet1!C$3)-1)</f>
        <v>0.2512362436363122</v>
      </c>
      <c r="L17" t="s">
        <v>15</v>
      </c>
      <c r="M17">
        <f>SUM(M13:M16)</f>
        <v>0.25123741402112454</v>
      </c>
    </row>
    <row r="18" spans="1:13" x14ac:dyDescent="0.2">
      <c r="A18">
        <v>0.3</v>
      </c>
      <c r="B18">
        <f t="shared" si="0"/>
        <v>0.79639032329768833</v>
      </c>
      <c r="C18" s="2">
        <f>B18*Sheet1!C$25</f>
        <v>0.20008299680590441</v>
      </c>
      <c r="D18" s="2">
        <f>Sheet1!C$6*Sheet1!C$3*LN((Sheet1!C$8-C18)/Sheet1!C$7+1)</f>
        <v>1.4001944289573909</v>
      </c>
      <c r="E18" s="2">
        <f>Sheet1!C$13*Sheet1!C$3*LN((Sheet1!C$15-C18)/Sheet1!C$14+1)</f>
        <v>0.40009735973633914</v>
      </c>
      <c r="F18" s="2">
        <f t="shared" si="1"/>
        <v>1.80029178869373</v>
      </c>
      <c r="G18" s="2">
        <f>A18*Sheet1!F$9</f>
        <v>0.42488982834295319</v>
      </c>
      <c r="H18" s="2">
        <f>A18*Sheet1!F$16</f>
        <v>0.13239554646557616</v>
      </c>
      <c r="I18" s="2">
        <f>Sheet1!C$8-Sheet1!C$7*(EXP(G18/Sheet1!C$6/Sheet1!C$3)-1)</f>
        <v>0.74876258232978821</v>
      </c>
      <c r="J18" s="2">
        <f>Sheet1!C$15-Sheet1!C$14*(EXP(H18/Sheet1!C$13/Sheet1!C$3)-1)</f>
        <v>0.25123576433753608</v>
      </c>
      <c r="L18" s="1" t="s">
        <v>12</v>
      </c>
      <c r="M18" s="6">
        <f>M17/Ip_mA</f>
        <v>0.25123741402112454</v>
      </c>
    </row>
    <row r="19" spans="1:13" x14ac:dyDescent="0.2">
      <c r="A19">
        <v>0.32</v>
      </c>
      <c r="B19">
        <f t="shared" si="0"/>
        <v>0.78052042564276825</v>
      </c>
      <c r="C19" s="2">
        <f>B19*Sheet1!C$25</f>
        <v>0.19609588572618769</v>
      </c>
      <c r="D19" s="2">
        <f>Sheet1!C$6*Sheet1!C$3*LN((Sheet1!C$8-C19)/Sheet1!C$7+1)</f>
        <v>1.4005694849378529</v>
      </c>
      <c r="E19" s="2">
        <f>Sheet1!C$13*Sheet1!C$3*LN((Sheet1!C$15-C19)/Sheet1!C$14+1)</f>
        <v>0.40204126509540966</v>
      </c>
      <c r="F19" s="2">
        <f t="shared" si="1"/>
        <v>1.8026107500332627</v>
      </c>
      <c r="G19" s="2">
        <f>A19*Sheet1!F$9</f>
        <v>0.45321581689915008</v>
      </c>
      <c r="H19" s="2">
        <f>A19*Sheet1!F$16</f>
        <v>0.14122191622994792</v>
      </c>
      <c r="I19" s="2">
        <f>Sheet1!C$8-Sheet1!C$7*(EXP(G19/Sheet1!C$6/Sheet1!C$3)-1)</f>
        <v>0.74876257967335047</v>
      </c>
      <c r="J19" s="2">
        <f>Sheet1!C$15-Sheet1!C$14*(EXP(H19/Sheet1!C$13/Sheet1!C$3)-1)</f>
        <v>0.2512350904180613</v>
      </c>
    </row>
    <row r="20" spans="1:13" x14ac:dyDescent="0.2">
      <c r="A20">
        <v>0.34</v>
      </c>
      <c r="B20">
        <f t="shared" si="0"/>
        <v>0.76432993478913136</v>
      </c>
      <c r="C20" s="2">
        <f>B20*Sheet1!C$25</f>
        <v>0.19202822965982516</v>
      </c>
      <c r="D20" s="2">
        <f>Sheet1!C$6*Sheet1!C$3*LN((Sheet1!C$8-C20)/Sheet1!C$7+1)</f>
        <v>1.4009493395038761</v>
      </c>
      <c r="E20" s="2">
        <f>Sheet1!C$13*Sheet1!C$3*LN((Sheet1!C$15-C20)/Sheet1!C$14+1)</f>
        <v>0.40388465969840959</v>
      </c>
      <c r="F20" s="2">
        <f t="shared" si="1"/>
        <v>1.8048339992022857</v>
      </c>
      <c r="G20" s="2">
        <f>A20*Sheet1!F$9</f>
        <v>0.48154180545534697</v>
      </c>
      <c r="H20" s="2">
        <f>A20*Sheet1!F$16</f>
        <v>0.15004828599431966</v>
      </c>
      <c r="I20" s="2">
        <f>Sheet1!C$8-Sheet1!C$7*(EXP(G20/Sheet1!C$6/Sheet1!C$3)-1)</f>
        <v>0.74876257508362676</v>
      </c>
      <c r="J20" s="2">
        <f>Sheet1!C$15-Sheet1!C$14*(EXP(H20/Sheet1!C$13/Sheet1!C$3)-1)</f>
        <v>0.25123414285157236</v>
      </c>
    </row>
    <row r="21" spans="1:13" x14ac:dyDescent="0.2">
      <c r="A21">
        <v>0.36</v>
      </c>
      <c r="B21">
        <f t="shared" si="0"/>
        <v>0.74781237432456016</v>
      </c>
      <c r="C21" s="2">
        <f>B21*Sheet1!C$25</f>
        <v>0.18787840149015417</v>
      </c>
      <c r="D21" s="2">
        <f>Sheet1!C$6*Sheet1!C$3*LN((Sheet1!C$8-C21)/Sheet1!C$7+1)</f>
        <v>1.4013340183173439</v>
      </c>
      <c r="E21" s="2">
        <f>Sheet1!C$13*Sheet1!C$3*LN((Sheet1!C$15-C21)/Sheet1!C$14+1)</f>
        <v>0.40563913813490715</v>
      </c>
      <c r="F21" s="2">
        <f t="shared" si="1"/>
        <v>1.8069731564522511</v>
      </c>
      <c r="G21" s="2">
        <f>A21*Sheet1!F$9</f>
        <v>0.50986779401154381</v>
      </c>
      <c r="H21" s="2">
        <f>A21*Sheet1!F$16</f>
        <v>0.15887465575869139</v>
      </c>
      <c r="I21" s="2">
        <f>Sheet1!C$8-Sheet1!C$7*(EXP(G21/Sheet1!C$6/Sheet1!C$3)-1)</f>
        <v>0.74876256715362255</v>
      </c>
      <c r="J21" s="2">
        <f>Sheet1!C$15-Sheet1!C$14*(EXP(H21/Sheet1!C$13/Sheet1!C$3)-1)</f>
        <v>0.25123281052288238</v>
      </c>
      <c r="L21" t="s">
        <v>25</v>
      </c>
      <c r="M21" s="2">
        <f>Ip_1_mA-I0_1_mA*(EXP(Sheet1!E29/n_1)-1)</f>
        <v>0.25123735303236977</v>
      </c>
    </row>
    <row r="22" spans="1:13" x14ac:dyDescent="0.2">
      <c r="A22">
        <v>0.38</v>
      </c>
      <c r="B22">
        <f t="shared" si="0"/>
        <v>0.73096113700463139</v>
      </c>
      <c r="C22" s="2">
        <f>B22*Sheet1!C$25</f>
        <v>0.18364474123057498</v>
      </c>
      <c r="D22" s="2">
        <f>Sheet1!C$6*Sheet1!C$3*LN((Sheet1!C$8-C22)/Sheet1!C$7+1)</f>
        <v>1.4017235462741031</v>
      </c>
      <c r="E22" s="2">
        <f>Sheet1!C$13*Sheet1!C$3*LN((Sheet1!C$15-C22)/Sheet1!C$14+1)</f>
        <v>0.40731441266490365</v>
      </c>
      <c r="F22" s="2">
        <f t="shared" si="1"/>
        <v>1.8090379589390069</v>
      </c>
      <c r="G22" s="2">
        <f>A22*Sheet1!F$9</f>
        <v>0.53819378256774075</v>
      </c>
      <c r="H22" s="2">
        <f>A22*Sheet1!F$16</f>
        <v>0.16770102552306315</v>
      </c>
      <c r="I22" s="2">
        <f>Sheet1!C$8-Sheet1!C$7*(EXP(G22/Sheet1!C$6/Sheet1!C$3)-1)</f>
        <v>0.74876255345236897</v>
      </c>
      <c r="J22" s="2">
        <f>Sheet1!C$15-Sheet1!C$14*(EXP(H22/Sheet1!C$13/Sheet1!C$3)-1)</f>
        <v>0.25123093719815126</v>
      </c>
      <c r="L22" t="s">
        <v>26</v>
      </c>
      <c r="M22" s="2">
        <f>Ip_2_mA-I0_2_mA*(EXP(-Sheet1!E29/n_2)-1)</f>
        <v>0.25123742402112453</v>
      </c>
    </row>
    <row r="23" spans="1:13" x14ac:dyDescent="0.2">
      <c r="A23">
        <v>0.4</v>
      </c>
      <c r="B23">
        <f t="shared" si="0"/>
        <v>0.71376948210973135</v>
      </c>
      <c r="C23" s="2">
        <f>B23*Sheet1!C$25</f>
        <v>0.17932555536053432</v>
      </c>
      <c r="D23" s="2">
        <f>Sheet1!C$6*Sheet1!C$3*LN((Sheet1!C$8-C23)/Sheet1!C$7+1)</f>
        <v>1.4021179474860308</v>
      </c>
      <c r="E23" s="2">
        <f>Sheet1!C$13*Sheet1!C$3*LN((Sheet1!C$15-C23)/Sheet1!C$14+1)</f>
        <v>0.40891869980528739</v>
      </c>
      <c r="F23" s="2">
        <f t="shared" si="1"/>
        <v>1.8110366472913182</v>
      </c>
      <c r="G23" s="2">
        <f>A23*Sheet1!F$9</f>
        <v>0.56651977112393759</v>
      </c>
      <c r="H23" s="2">
        <f>A23*Sheet1!F$16</f>
        <v>0.17652739528743489</v>
      </c>
      <c r="I23" s="2">
        <f>Sheet1!C$8-Sheet1!C$7*(EXP(G23/Sheet1!C$6/Sheet1!C$3)-1)</f>
        <v>0.74876252977970226</v>
      </c>
      <c r="J23" s="2">
        <f>Sheet1!C$15-Sheet1!C$14*(EXP(H23/Sheet1!C$13/Sheet1!C$3)-1)</f>
        <v>0.25122830320432171</v>
      </c>
    </row>
    <row r="24" spans="1:13" x14ac:dyDescent="0.2">
      <c r="A24">
        <v>0.42</v>
      </c>
      <c r="B24">
        <f t="shared" si="0"/>
        <v>0.69623053274867686</v>
      </c>
      <c r="C24" s="2">
        <f>B24*Sheet1!C$25</f>
        <v>0.17491911614809422</v>
      </c>
      <c r="D24" s="2">
        <f>Sheet1!C$6*Sheet1!C$3*LN((Sheet1!C$8-C24)/Sheet1!C$7+1)</f>
        <v>1.4025172452635277</v>
      </c>
      <c r="E24" s="2">
        <f>Sheet1!C$13*Sheet1!C$3*LN((Sheet1!C$15-C24)/Sheet1!C$14+1)</f>
        <v>0.41045901249808803</v>
      </c>
      <c r="F24" s="2">
        <f t="shared" si="1"/>
        <v>1.8129762577616158</v>
      </c>
      <c r="G24" s="2">
        <f>A24*Sheet1!F$9</f>
        <v>0.59484575968013442</v>
      </c>
      <c r="H24" s="2">
        <f>A24*Sheet1!F$16</f>
        <v>0.18535376505180662</v>
      </c>
      <c r="I24" s="2">
        <f>Sheet1!C$8-Sheet1!C$7*(EXP(G24/Sheet1!C$6/Sheet1!C$3)-1)</f>
        <v>0.7487624888786889</v>
      </c>
      <c r="J24" s="2">
        <f>Sheet1!C$15-Sheet1!C$14*(EXP(H24/Sheet1!C$13/Sheet1!C$3)-1)</f>
        <v>0.251224599669436</v>
      </c>
    </row>
    <row r="25" spans="1:13" x14ac:dyDescent="0.2">
      <c r="A25">
        <v>0.44</v>
      </c>
      <c r="B25">
        <f t="shared" si="0"/>
        <v>0.6783372731078674</v>
      </c>
      <c r="C25" s="2">
        <f>B25*Sheet1!C$25</f>
        <v>0.17042366095881631</v>
      </c>
      <c r="D25" s="2">
        <f>Sheet1!C$6*Sheet1!C$3*LN((Sheet1!C$8-C25)/Sheet1!C$7+1)</f>
        <v>1.4029214620984678</v>
      </c>
      <c r="E25" s="2">
        <f>Sheet1!C$13*Sheet1!C$3*LN((Sheet1!C$15-C25)/Sheet1!C$14+1)</f>
        <v>0.41194138424886656</v>
      </c>
      <c r="F25" s="2">
        <f t="shared" si="1"/>
        <v>1.8148628463473344</v>
      </c>
      <c r="G25" s="2">
        <f>A25*Sheet1!F$9</f>
        <v>0.62317174823633137</v>
      </c>
      <c r="H25" s="2">
        <f>A25*Sheet1!F$16</f>
        <v>0.19418013481617838</v>
      </c>
      <c r="I25" s="2">
        <f>Sheet1!C$8-Sheet1!C$7*(EXP(G25/Sheet1!C$6/Sheet1!C$3)-1)</f>
        <v>0.74876241821098988</v>
      </c>
      <c r="J25" s="2">
        <f>Sheet1!C$15-Sheet1!C$14*(EXP(H25/Sheet1!C$13/Sheet1!C$3)-1)</f>
        <v>0.25121939230315599</v>
      </c>
    </row>
    <row r="26" spans="1:13" x14ac:dyDescent="0.2">
      <c r="A26">
        <v>0.46</v>
      </c>
      <c r="B26">
        <f t="shared" si="0"/>
        <v>0.66008254564486712</v>
      </c>
      <c r="C26" s="2">
        <f>B26*Sheet1!C$25</f>
        <v>0.1658373915506848</v>
      </c>
      <c r="D26" s="2">
        <f>Sheet1!C$6*Sheet1!C$3*LN((Sheet1!C$8-C26)/Sheet1!C$7+1)</f>
        <v>1.4033306196476234</v>
      </c>
      <c r="E26" s="2">
        <f>Sheet1!C$13*Sheet1!C$3*LN((Sheet1!C$15-C26)/Sheet1!C$14+1)</f>
        <v>0.41337104340089759</v>
      </c>
      <c r="F26" s="2">
        <f t="shared" si="1"/>
        <v>1.8167016630485211</v>
      </c>
      <c r="G26" s="2">
        <f>A26*Sheet1!F$9</f>
        <v>0.6514977367925282</v>
      </c>
      <c r="H26" s="2">
        <f>A26*Sheet1!F$16</f>
        <v>0.20300650458055014</v>
      </c>
      <c r="I26" s="2">
        <f>Sheet1!C$8-Sheet1!C$7*(EXP(G26/Sheet1!C$6/Sheet1!C$3)-1)</f>
        <v>0.74876229611319145</v>
      </c>
      <c r="J26" s="2">
        <f>Sheet1!C$15-Sheet1!C$14*(EXP(H26/Sheet1!C$13/Sheet1!C$3)-1)</f>
        <v>0.25121207047025551</v>
      </c>
      <c r="M26" s="2"/>
    </row>
    <row r="27" spans="1:13" x14ac:dyDescent="0.2">
      <c r="A27">
        <v>0.48</v>
      </c>
      <c r="B27">
        <f t="shared" si="0"/>
        <v>0.64145904822529087</v>
      </c>
      <c r="C27" s="2">
        <f>B27*Sheet1!C$25</f>
        <v>0.16115847335478531</v>
      </c>
      <c r="D27" s="2">
        <f>Sheet1!C$6*Sheet1!C$3*LN((Sheet1!C$8-C27)/Sheet1!C$7+1)</f>
        <v>1.4037447387165995</v>
      </c>
      <c r="E27" s="2">
        <f>Sheet1!C$13*Sheet1!C$3*LN((Sheet1!C$15-C27)/Sheet1!C$14+1)</f>
        <v>0.4147525502919831</v>
      </c>
      <c r="F27" s="2">
        <f t="shared" si="1"/>
        <v>1.8184972890085827</v>
      </c>
      <c r="G27" s="2">
        <f>A27*Sheet1!F$9</f>
        <v>0.67982372534872504</v>
      </c>
      <c r="H27" s="2">
        <f>A27*Sheet1!F$16</f>
        <v>0.21183287434492185</v>
      </c>
      <c r="I27" s="2">
        <f>Sheet1!C$8-Sheet1!C$7*(EXP(G27/Sheet1!C$6/Sheet1!C$3)-1)</f>
        <v>0.74876208515581488</v>
      </c>
      <c r="J27" s="2">
        <f>Sheet1!C$15-Sheet1!C$14*(EXP(H27/Sheet1!C$13/Sheet1!C$3)-1)</f>
        <v>0.25120177558525236</v>
      </c>
    </row>
    <row r="28" spans="1:13" x14ac:dyDescent="0.2">
      <c r="A28">
        <v>0.5</v>
      </c>
      <c r="B28">
        <f t="shared" si="0"/>
        <v>0.62245933120185448</v>
      </c>
      <c r="C28" s="2">
        <f>B28*Sheet1!C$25</f>
        <v>0.1563850347414531</v>
      </c>
      <c r="D28" s="2">
        <f>Sheet1!C$6*Sheet1!C$3*LN((Sheet1!C$8-C28)/Sheet1!C$7+1)</f>
        <v>1.4041638392442943</v>
      </c>
      <c r="E28" s="2">
        <f>Sheet1!C$13*Sheet1!C$3*LN((Sheet1!C$15-C28)/Sheet1!C$14+1)</f>
        <v>0.41608990639401155</v>
      </c>
      <c r="F28" s="2">
        <f t="shared" si="1"/>
        <v>1.8202537456383059</v>
      </c>
      <c r="G28" s="2">
        <f>A28*Sheet1!F$9</f>
        <v>0.70814971390492198</v>
      </c>
      <c r="H28" s="2">
        <f>A28*Sheet1!F$16</f>
        <v>0.22065924410929361</v>
      </c>
      <c r="I28" s="2">
        <f>Sheet1!C$8-Sheet1!C$7*(EXP(G28/Sheet1!C$6/Sheet1!C$3)-1)</f>
        <v>0.74876172066918789</v>
      </c>
      <c r="J28" s="2">
        <f>Sheet1!C$15-Sheet1!C$14*(EXP(H28/Sheet1!C$13/Sheet1!C$3)-1)</f>
        <v>0.25118730043146648</v>
      </c>
      <c r="L28" t="s">
        <v>29</v>
      </c>
      <c r="M28" s="2">
        <f>Sheet1!C3*Sheet1!E29</f>
        <v>1.3951248473887194</v>
      </c>
    </row>
    <row r="29" spans="1:13" x14ac:dyDescent="0.2">
      <c r="A29">
        <v>0.52</v>
      </c>
      <c r="B29">
        <f t="shared" si="0"/>
        <v>0.6030757944344155</v>
      </c>
      <c r="C29" s="2">
        <f>B29*Sheet1!C$25</f>
        <v>0.15151516627159611</v>
      </c>
      <c r="D29" s="2">
        <f>Sheet1!C$6*Sheet1!C$3*LN((Sheet1!C$8-C29)/Sheet1!C$7+1)</f>
        <v>1.4045879402879138</v>
      </c>
      <c r="E29" s="2">
        <f>Sheet1!C$13*Sheet1!C$3*LN((Sheet1!C$15-C29)/Sheet1!C$14+1)</f>
        <v>0.41738664203430964</v>
      </c>
      <c r="F29" s="2">
        <f t="shared" si="1"/>
        <v>1.8219745823222233</v>
      </c>
      <c r="G29" s="2">
        <f>A29*Sheet1!F$9</f>
        <v>0.73647570246111893</v>
      </c>
      <c r="H29" s="2">
        <f>A29*Sheet1!F$16</f>
        <v>0.22948561387366537</v>
      </c>
      <c r="I29" s="2">
        <f>Sheet1!C$8-Sheet1!C$7*(EXP(G29/Sheet1!C$6/Sheet1!C$3)-1)</f>
        <v>0.74876109091874532</v>
      </c>
      <c r="J29" s="2">
        <f>Sheet1!C$15-Sheet1!C$14*(EXP(H29/Sheet1!C$13/Sheet1!C$3)-1)</f>
        <v>0.25116694759828179</v>
      </c>
    </row>
    <row r="30" spans="1:13" x14ac:dyDescent="0.2">
      <c r="A30">
        <v>0.54</v>
      </c>
      <c r="B30">
        <f t="shared" si="0"/>
        <v>0.58330068424981629</v>
      </c>
      <c r="C30" s="2">
        <f>B30*Sheet1!C$25</f>
        <v>0.14654691993289395</v>
      </c>
      <c r="D30" s="2">
        <f>Sheet1!C$6*Sheet1!C$3*LN((Sheet1!C$8-C30)/Sheet1!C$7+1)</f>
        <v>1.4050170600085627</v>
      </c>
      <c r="E30" s="2">
        <f>Sheet1!C$13*Sheet1!C$3*LN((Sheet1!C$15-C30)/Sheet1!C$14+1)</f>
        <v>0.41864588755276327</v>
      </c>
      <c r="F30" s="2">
        <f t="shared" si="1"/>
        <v>1.823662947561326</v>
      </c>
      <c r="G30" s="2">
        <f>A30*Sheet1!F$9</f>
        <v>0.76480169101731577</v>
      </c>
      <c r="H30" s="2">
        <f>A30*Sheet1!F$16</f>
        <v>0.2383119836380371</v>
      </c>
      <c r="I30" s="2">
        <f>Sheet1!C$8-Sheet1!C$7*(EXP(G30/Sheet1!C$6/Sheet1!C$3)-1)</f>
        <v>0.74876000285243349</v>
      </c>
      <c r="J30" s="2">
        <f>Sheet1!C$15-Sheet1!C$14*(EXP(H30/Sheet1!C$13/Sheet1!C$3)-1)</f>
        <v>0.2511383304364353</v>
      </c>
    </row>
    <row r="31" spans="1:13" x14ac:dyDescent="0.2">
      <c r="A31">
        <v>0.56000000000000005</v>
      </c>
      <c r="B31">
        <f t="shared" si="0"/>
        <v>0.56312609034031147</v>
      </c>
      <c r="C31" s="2">
        <f>B31*Sheet1!C$25</f>
        <v>0.14147830836056699</v>
      </c>
      <c r="D31" s="2">
        <f>Sheet1!C$6*Sheet1!C$3*LN((Sheet1!C$8-C31)/Sheet1!C$7+1)</f>
        <v>1.4054512156574357</v>
      </c>
      <c r="E31" s="2">
        <f>Sheet1!C$13*Sheet1!C$3*LN((Sheet1!C$15-C31)/Sheet1!C$14+1)</f>
        <v>0.41987043151187065</v>
      </c>
      <c r="F31" s="2">
        <f t="shared" si="1"/>
        <v>1.8253216471693063</v>
      </c>
      <c r="G31" s="2">
        <f>A31*Sheet1!F$9</f>
        <v>0.79312767957351271</v>
      </c>
      <c r="H31" s="2">
        <f>A31*Sheet1!F$16</f>
        <v>0.24713835340240886</v>
      </c>
      <c r="I31" s="2">
        <f>Sheet1!C$8-Sheet1!C$7*(EXP(G31/Sheet1!C$6/Sheet1!C$3)-1)</f>
        <v>0.74875812291997312</v>
      </c>
      <c r="J31" s="2">
        <f>Sheet1!C$15-Sheet1!C$14*(EXP(H31/Sheet1!C$13/Sheet1!C$3)-1)</f>
        <v>0.25109809319060733</v>
      </c>
    </row>
    <row r="32" spans="1:13" x14ac:dyDescent="0.2">
      <c r="A32">
        <v>0.57999999999999996</v>
      </c>
      <c r="B32">
        <f t="shared" si="0"/>
        <v>0.54254394259933914</v>
      </c>
      <c r="C32" s="2">
        <f>B32*Sheet1!C$25</f>
        <v>0.13630730404240393</v>
      </c>
      <c r="D32" s="2">
        <f>Sheet1!C$6*Sheet1!C$3*LN((Sheet1!C$8-C32)/Sheet1!C$7+1)</f>
        <v>1.4058904235626291</v>
      </c>
      <c r="E32" s="2">
        <f>Sheet1!C$13*Sheet1!C$3*LN((Sheet1!C$15-C32)/Sheet1!C$14+1)</f>
        <v>0.42106276868762632</v>
      </c>
      <c r="F32" s="2">
        <f t="shared" si="1"/>
        <v>1.8269531922502553</v>
      </c>
      <c r="G32" s="2">
        <f>A32*Sheet1!F$9</f>
        <v>0.82145366812970944</v>
      </c>
      <c r="H32" s="2">
        <f>A32*Sheet1!F$16</f>
        <v>0.25596472316678054</v>
      </c>
      <c r="I32" s="2">
        <f>Sheet1!C$8-Sheet1!C$7*(EXP(G32/Sheet1!C$6/Sheet1!C$3)-1)</f>
        <v>0.74875487482193248</v>
      </c>
      <c r="J32" s="2">
        <f>Sheet1!C$15-Sheet1!C$14*(EXP(H32/Sheet1!C$13/Sheet1!C$3)-1)</f>
        <v>0.25104151749101467</v>
      </c>
    </row>
    <row r="33" spans="1:10" x14ac:dyDescent="0.2">
      <c r="A33">
        <v>0.6</v>
      </c>
      <c r="B33">
        <f t="shared" si="0"/>
        <v>0.52154600789337047</v>
      </c>
      <c r="C33" s="2">
        <f>B33*Sheet1!C$25</f>
        <v>0.13103183850772981</v>
      </c>
      <c r="D33" s="2">
        <f>Sheet1!C$6*Sheet1!C$3*LN((Sheet1!C$8-C33)/Sheet1!C$7+1)</f>
        <v>1.4063346991165935</v>
      </c>
      <c r="E33" s="2">
        <f>Sheet1!C$13*Sheet1!C$3*LN((Sheet1!C$15-C33)/Sheet1!C$14+1)</f>
        <v>0.42222513992126948</v>
      </c>
      <c r="F33" s="2">
        <f t="shared" si="1"/>
        <v>1.828559839037863</v>
      </c>
      <c r="G33" s="2">
        <f>A33*Sheet1!F$9</f>
        <v>0.84977965668590638</v>
      </c>
      <c r="H33" s="2">
        <f>A33*Sheet1!F$16</f>
        <v>0.26479109293115233</v>
      </c>
      <c r="I33" s="2">
        <f>Sheet1!C$8-Sheet1!C$7*(EXP(G33/Sheet1!C$6/Sheet1!C$3)-1)</f>
        <v>0.74874926284325549</v>
      </c>
      <c r="J33" s="2">
        <f>Sheet1!C$15-Sheet1!C$14*(EXP(H33/Sheet1!C$13/Sheet1!C$3)-1)</f>
        <v>0.25096196905974077</v>
      </c>
    </row>
    <row r="34" spans="1:10" x14ac:dyDescent="0.2">
      <c r="A34">
        <v>0.62</v>
      </c>
      <c r="B34">
        <f t="shared" si="0"/>
        <v>0.5001238867685468</v>
      </c>
      <c r="C34" s="2">
        <f>B34*Sheet1!C$25</f>
        <v>0.1256498014999903</v>
      </c>
      <c r="D34" s="2">
        <f>Sheet1!C$6*Sheet1!C$3*LN((Sheet1!C$8-C34)/Sheet1!C$7+1)</f>
        <v>1.4067840567642513</v>
      </c>
      <c r="E34" s="2">
        <f>Sheet1!C$13*Sheet1!C$3*LN((Sheet1!C$15-C34)/Sheet1!C$14+1)</f>
        <v>0.42335956543415815</v>
      </c>
      <c r="F34" s="2">
        <f t="shared" si="1"/>
        <v>1.8301436221984095</v>
      </c>
      <c r="G34" s="2">
        <f>A34*Sheet1!F$9</f>
        <v>0.87810564524210322</v>
      </c>
      <c r="H34" s="2">
        <f>A34*Sheet1!F$16</f>
        <v>0.27361746269552406</v>
      </c>
      <c r="I34" s="2">
        <f>Sheet1!C$8-Sheet1!C$7*(EXP(G34/Sheet1!C$6/Sheet1!C$3)-1)</f>
        <v>0.74873956661356156</v>
      </c>
      <c r="J34" s="2">
        <f>Sheet1!C$15-Sheet1!C$14*(EXP(H34/Sheet1!C$13/Sheet1!C$3)-1)</f>
        <v>0.25085011975051963</v>
      </c>
    </row>
    <row r="35" spans="1:10" x14ac:dyDescent="0.2">
      <c r="A35">
        <v>0.64</v>
      </c>
      <c r="B35">
        <f t="shared" ref="B35:B53" si="3">1-(EXP(A35)-1)/(EXP(1)-1)</f>
        <v>0.47826901009078626</v>
      </c>
      <c r="C35" s="2">
        <f>B35*Sheet1!C$25</f>
        <v>0.12015904013262088</v>
      </c>
      <c r="D35" s="2">
        <f>Sheet1!C$6*Sheet1!C$3*LN((Sheet1!C$8-C35)/Sheet1!C$7+1)</f>
        <v>1.4072385099917946</v>
      </c>
      <c r="E35" s="2">
        <f>Sheet1!C$13*Sheet1!C$3*LN((Sheet1!C$15-C35)/Sheet1!C$14+1)</f>
        <v>0.42446787285170112</v>
      </c>
      <c r="F35" s="2">
        <f t="shared" si="1"/>
        <v>1.8317063828434956</v>
      </c>
      <c r="G35" s="2">
        <f>A35*Sheet1!F$9</f>
        <v>0.90643163379830016</v>
      </c>
      <c r="H35" s="2">
        <f>A35*Sheet1!F$16</f>
        <v>0.28244383245989585</v>
      </c>
      <c r="I35" s="2">
        <f>Sheet1!C$8-Sheet1!C$7*(EXP(G35/Sheet1!C$6/Sheet1!C$3)-1)</f>
        <v>0.74872281372199001</v>
      </c>
      <c r="J35" s="2">
        <f>Sheet1!C$15-Sheet1!C$14*(EXP(H35/Sheet1!C$13/Sheet1!C$3)-1)</f>
        <v>0.25069285369545236</v>
      </c>
    </row>
    <row r="36" spans="1:10" x14ac:dyDescent="0.2">
      <c r="A36">
        <v>0.66</v>
      </c>
      <c r="B36">
        <f t="shared" si="3"/>
        <v>0.45597263561801538</v>
      </c>
      <c r="C36" s="2">
        <f>B36*Sheet1!C$25</f>
        <v>0.11455735802786343</v>
      </c>
      <c r="D36" s="2">
        <f>Sheet1!C$6*Sheet1!C$3*LN((Sheet1!C$8-C36)/Sheet1!C$7+1)</f>
        <v>1.407698071316182</v>
      </c>
      <c r="E36" s="2">
        <f>Sheet1!C$13*Sheet1!C$3*LN((Sheet1!C$15-C36)/Sheet1!C$14+1)</f>
        <v>0.42555172091373328</v>
      </c>
      <c r="F36" s="2">
        <f t="shared" ref="F36:F53" si="4">D36+E36</f>
        <v>1.8332497922299154</v>
      </c>
      <c r="G36" s="2">
        <f>A36*Sheet1!F$9</f>
        <v>0.93475762235449711</v>
      </c>
      <c r="H36" s="2">
        <f>A36*Sheet1!F$16</f>
        <v>0.29127020222426758</v>
      </c>
      <c r="I36" s="2">
        <f>Sheet1!C$8-Sheet1!C$7*(EXP(G36/Sheet1!C$6/Sheet1!C$3)-1)</f>
        <v>0.7486938685149489</v>
      </c>
      <c r="J36" s="2">
        <f>Sheet1!C$15-Sheet1!C$14*(EXP(H36/Sheet1!C$13/Sheet1!C$3)-1)</f>
        <v>0.25047172928933253</v>
      </c>
    </row>
    <row r="37" spans="1:10" x14ac:dyDescent="0.2">
      <c r="A37">
        <v>0.68</v>
      </c>
      <c r="B37">
        <f t="shared" si="3"/>
        <v>0.43322584450315627</v>
      </c>
      <c r="C37" s="2">
        <f>B37*Sheet1!C$25</f>
        <v>0.108842514438186</v>
      </c>
      <c r="D37" s="2">
        <f>Sheet1!C$6*Sheet1!C$3*LN((Sheet1!C$8-C37)/Sheet1!C$7+1)</f>
        <v>1.4081627522753544</v>
      </c>
      <c r="E37" s="2">
        <f>Sheet1!C$13*Sheet1!C$3*LN((Sheet1!C$15-C37)/Sheet1!C$14+1)</f>
        <v>0.42661261964435671</v>
      </c>
      <c r="F37" s="2">
        <f t="shared" si="4"/>
        <v>1.8347753719197111</v>
      </c>
      <c r="G37" s="2">
        <f>A37*Sheet1!F$9</f>
        <v>0.96308361091069394</v>
      </c>
      <c r="H37" s="2">
        <f>A37*Sheet1!F$16</f>
        <v>0.30009657198863932</v>
      </c>
      <c r="I37" s="2">
        <f>Sheet1!C$8-Sheet1!C$7*(EXP(G37/Sheet1!C$6/Sheet1!C$3)-1)</f>
        <v>0.74864385774474385</v>
      </c>
      <c r="J37" s="2">
        <f>Sheet1!C$15-Sheet1!C$14*(EXP(H37/Sheet1!C$13/Sheet1!C$3)-1)</f>
        <v>0.25016081665811712</v>
      </c>
    </row>
    <row r="38" spans="1:10" x14ac:dyDescent="0.2">
      <c r="A38">
        <v>0.70000000000000007</v>
      </c>
      <c r="B38">
        <f t="shared" si="3"/>
        <v>0.41001953772646837</v>
      </c>
      <c r="C38" s="2">
        <f>B38*Sheet1!C$25</f>
        <v>0.10301222334995379</v>
      </c>
      <c r="D38" s="2">
        <f>Sheet1!C$6*Sheet1!C$3*LN((Sheet1!C$8-C38)/Sheet1!C$7+1)</f>
        <v>1.408632563419183</v>
      </c>
      <c r="E38" s="2">
        <f>Sheet1!C$13*Sheet1!C$3*LN((Sheet1!C$15-C38)/Sheet1!C$14+1)</f>
        <v>0.42765194759732295</v>
      </c>
      <c r="F38" s="2">
        <f t="shared" si="4"/>
        <v>1.836284511016506</v>
      </c>
      <c r="G38" s="2">
        <f>A38*Sheet1!F$9</f>
        <v>0.99140959946689089</v>
      </c>
      <c r="H38" s="2">
        <f>A38*Sheet1!F$16</f>
        <v>0.3089229417530111</v>
      </c>
      <c r="I38" s="2">
        <f>Sheet1!C$8-Sheet1!C$7*(EXP(G38/Sheet1!C$6/Sheet1!C$3)-1)</f>
        <v>0.74855745044653565</v>
      </c>
      <c r="J38" s="2">
        <f>Sheet1!C$15-Sheet1!C$14*(EXP(H38/Sheet1!C$13/Sheet1!C$3)-1)</f>
        <v>0.24972365702501487</v>
      </c>
    </row>
    <row r="39" spans="1:10" x14ac:dyDescent="0.2">
      <c r="A39">
        <v>0.72</v>
      </c>
      <c r="B39">
        <f t="shared" si="3"/>
        <v>0.3863444324558194</v>
      </c>
      <c r="C39" s="2">
        <f>B39*Sheet1!C$25</f>
        <v>9.7064152568993242E-2</v>
      </c>
      <c r="D39" s="2">
        <f>Sheet1!C$6*Sheet1!C$3*LN((Sheet1!C$8-C39)/Sheet1!C$7+1)</f>
        <v>1.4091075143011644</v>
      </c>
      <c r="E39" s="2">
        <f>Sheet1!C$13*Sheet1!C$3*LN((Sheet1!C$15-C39)/Sheet1!C$14+1)</f>
        <v>0.42867096667148413</v>
      </c>
      <c r="F39" s="2">
        <f t="shared" si="4"/>
        <v>1.8377784809726485</v>
      </c>
      <c r="G39" s="2">
        <f>A39*Sheet1!F$9</f>
        <v>1.0197355880230876</v>
      </c>
      <c r="H39" s="2">
        <f>A39*Sheet1!F$16</f>
        <v>0.31774931151738278</v>
      </c>
      <c r="I39" s="2">
        <f>Sheet1!C$8-Sheet1!C$7*(EXP(G39/Sheet1!C$6/Sheet1!C$3)-1)</f>
        <v>0.74840815818102935</v>
      </c>
      <c r="J39" s="2">
        <f>Sheet1!C$15-Sheet1!C$14*(EXP(H39/Sheet1!C$13/Sheet1!C$3)-1)</f>
        <v>0.24910898741809984</v>
      </c>
    </row>
    <row r="40" spans="1:10" x14ac:dyDescent="0.2">
      <c r="A40">
        <v>0.74</v>
      </c>
      <c r="B40">
        <f t="shared" si="3"/>
        <v>0.36219105833342879</v>
      </c>
      <c r="C40" s="2">
        <f>B40*Sheet1!C$25</f>
        <v>9.0995922787683287E-2</v>
      </c>
      <c r="D40" s="2">
        <f>Sheet1!C$6*Sheet1!C$3*LN((Sheet1!C$8-C40)/Sheet1!C$7+1)</f>
        <v>1.4095876134708811</v>
      </c>
      <c r="E40" s="2">
        <f>Sheet1!C$13*Sheet1!C$3*LN((Sheet1!C$15-C40)/Sheet1!C$14+1)</f>
        <v>0.42967083489594415</v>
      </c>
      <c r="F40" s="2">
        <f t="shared" si="4"/>
        <v>1.8392584483668253</v>
      </c>
      <c r="G40" s="2">
        <f>A40*Sheet1!F$9</f>
        <v>1.0480615765792844</v>
      </c>
      <c r="H40" s="2">
        <f>A40*Sheet1!F$16</f>
        <v>0.32657568128175452</v>
      </c>
      <c r="I40" s="2">
        <f>Sheet1!C$8-Sheet1!C$7*(EXP(G40/Sheet1!C$6/Sheet1!C$3)-1)</f>
        <v>0.74815021491695088</v>
      </c>
      <c r="J40" s="2">
        <f>Sheet1!C$15-Sheet1!C$14*(EXP(H40/Sheet1!C$13/Sheet1!C$3)-1)</f>
        <v>0.24824472938269077</v>
      </c>
    </row>
    <row r="41" spans="1:10" x14ac:dyDescent="0.2">
      <c r="A41">
        <v>0.76</v>
      </c>
      <c r="B41">
        <f t="shared" si="3"/>
        <v>0.33754975368759832</v>
      </c>
      <c r="C41" s="2">
        <f>B41*Sheet1!C$25</f>
        <v>8.4805106633200594E-2</v>
      </c>
      <c r="D41" s="2">
        <f>Sheet1!C$6*Sheet1!C$3*LN((Sheet1!C$8-C41)/Sheet1!C$7+1)</f>
        <v>1.410072868467233</v>
      </c>
      <c r="E41" s="2">
        <f>Sheet1!C$13*Sheet1!C$3*LN((Sheet1!C$15-C41)/Sheet1!C$14+1)</f>
        <v>0.43065261750990669</v>
      </c>
      <c r="F41" s="2">
        <f t="shared" si="4"/>
        <v>1.8407254859771398</v>
      </c>
      <c r="G41" s="2">
        <f>A41*Sheet1!F$9</f>
        <v>1.0763875651354815</v>
      </c>
      <c r="H41" s="2">
        <f>A41*Sheet1!F$16</f>
        <v>0.3354020510461263</v>
      </c>
      <c r="I41" s="2">
        <f>Sheet1!C$8-Sheet1!C$7*(EXP(G41/Sheet1!C$6/Sheet1!C$3)-1)</f>
        <v>0.74770454730478197</v>
      </c>
      <c r="J41" s="2">
        <f>Sheet1!C$15-Sheet1!C$14*(EXP(H41/Sheet1!C$13/Sheet1!C$3)-1)</f>
        <v>0.2470295367924504</v>
      </c>
    </row>
    <row r="42" spans="1:10" x14ac:dyDescent="0.2">
      <c r="A42">
        <v>0.78</v>
      </c>
      <c r="B42">
        <f t="shared" si="3"/>
        <v>0.31241066166791442</v>
      </c>
      <c r="C42" s="2">
        <f>B42*Sheet1!C$25</f>
        <v>7.8489227696538044E-2</v>
      </c>
      <c r="D42" s="2">
        <f>Sheet1!C$6*Sheet1!C$3*LN((Sheet1!C$8-C42)/Sheet1!C$7+1)</f>
        <v>1.4105632858124555</v>
      </c>
      <c r="E42" s="2">
        <f>Sheet1!C$13*Sheet1!C$3*LN((Sheet1!C$15-C42)/Sheet1!C$14+1)</f>
        <v>0.43161729660309461</v>
      </c>
      <c r="F42" s="2">
        <f t="shared" si="4"/>
        <v>1.8421805824155502</v>
      </c>
      <c r="G42" s="2">
        <f>A42*Sheet1!F$9</f>
        <v>1.1047135536916783</v>
      </c>
      <c r="H42" s="2">
        <f>A42*Sheet1!F$16</f>
        <v>0.34422842081049804</v>
      </c>
      <c r="I42" s="2">
        <f>Sheet1!C$8-Sheet1!C$7*(EXP(G42/Sheet1!C$6/Sheet1!C$3)-1)</f>
        <v>0.74693453448337388</v>
      </c>
      <c r="J42" s="2">
        <f>Sheet1!C$15-Sheet1!C$14*(EXP(H42/Sheet1!C$13/Sheet1!C$3)-1)</f>
        <v>0.24532091162395409</v>
      </c>
    </row>
    <row r="43" spans="1:10" x14ac:dyDescent="0.2">
      <c r="A43">
        <v>0.8</v>
      </c>
      <c r="B43">
        <f t="shared" si="3"/>
        <v>0.28676372630237679</v>
      </c>
      <c r="C43" s="2">
        <f>B43*Sheet1!C$25</f>
        <v>7.2045759541908103E-2</v>
      </c>
      <c r="D43" s="2">
        <f>Sheet1!C$6*Sheet1!C$3*LN((Sheet1!C$8-C43)/Sheet1!C$7+1)</f>
        <v>1.4110588710069361</v>
      </c>
      <c r="E43" s="2">
        <f>Sheet1!C$13*Sheet1!C$3*LN((Sheet1!C$15-C43)/Sheet1!C$14+1)</f>
        <v>0.43256577953547781</v>
      </c>
      <c r="F43" s="2">
        <f t="shared" si="4"/>
        <v>1.8436246505424139</v>
      </c>
      <c r="G43" s="2">
        <f>A43*Sheet1!F$9</f>
        <v>1.1330395422478752</v>
      </c>
      <c r="H43" s="2">
        <f>A43*Sheet1!F$16</f>
        <v>0.35305479057486977</v>
      </c>
      <c r="I43" s="2">
        <f>Sheet1!C$8-Sheet1!C$7*(EXP(G43/Sheet1!C$6/Sheet1!C$3)-1)</f>
        <v>0.74560412650903751</v>
      </c>
      <c r="J43" s="2">
        <f>Sheet1!C$15-Sheet1!C$14*(EXP(H43/Sheet1!C$13/Sheet1!C$3)-1)</f>
        <v>0.24291849410605137</v>
      </c>
    </row>
    <row r="44" spans="1:10" x14ac:dyDescent="0.2">
      <c r="A44">
        <v>0.82000000000000006</v>
      </c>
      <c r="B44">
        <f t="shared" si="3"/>
        <v>0.26059868847487599</v>
      </c>
      <c r="C44" s="2">
        <f>B44*Sheet1!C$25</f>
        <v>6.5472124696134976E-2</v>
      </c>
      <c r="D44" s="2">
        <f>Sheet1!C$6*Sheet1!C$3*LN((Sheet1!C$8-C44)/Sheet1!C$7+1)</f>
        <v>1.4115596285248326</v>
      </c>
      <c r="E44" s="2">
        <f>Sheet1!C$13*Sheet1!C$3*LN((Sheet1!C$15-C44)/Sheet1!C$14+1)</f>
        <v>0.43349890631722421</v>
      </c>
      <c r="F44" s="2">
        <f t="shared" si="4"/>
        <v>1.8450585348420567</v>
      </c>
      <c r="G44" s="2">
        <f>A44*Sheet1!F$9</f>
        <v>1.1613655308040722</v>
      </c>
      <c r="H44" s="2">
        <f>A44*Sheet1!F$16</f>
        <v>0.36188116033924156</v>
      </c>
      <c r="I44" s="2">
        <f>Sheet1!C$8-Sheet1!C$7*(EXP(G44/Sheet1!C$6/Sheet1!C$3)-1)</f>
        <v>0.74330548247485018</v>
      </c>
      <c r="J44" s="2">
        <f>Sheet1!C$15-Sheet1!C$14*(EXP(H44/Sheet1!C$13/Sheet1!C$3)-1)</f>
        <v>0.23954056778450175</v>
      </c>
    </row>
    <row r="45" spans="1:10" x14ac:dyDescent="0.2">
      <c r="A45">
        <v>0.84</v>
      </c>
      <c r="B45">
        <f t="shared" si="3"/>
        <v>0.23390508182140923</v>
      </c>
      <c r="C45" s="2">
        <f>B45*Sheet1!C$25</f>
        <v>5.8765693617630725E-2</v>
      </c>
      <c r="D45" s="2">
        <f>Sheet1!C$6*Sheet1!C$3*LN((Sheet1!C$8-C45)/Sheet1!C$7+1)</f>
        <v>1.4120655618105056</v>
      </c>
      <c r="E45" s="2">
        <f>Sheet1!C$13*Sheet1!C$3*LN((Sheet1!C$15-C45)/Sheet1!C$14+1)</f>
        <v>0.43441745609925586</v>
      </c>
      <c r="F45" s="2">
        <f t="shared" si="4"/>
        <v>1.8464830179097613</v>
      </c>
      <c r="G45" s="2">
        <f>A45*Sheet1!F$9</f>
        <v>1.1896915193602688</v>
      </c>
      <c r="H45" s="2">
        <f>A45*Sheet1!F$16</f>
        <v>0.37070753010361324</v>
      </c>
      <c r="I45" s="2">
        <f>Sheet1!C$8-Sheet1!C$7*(EXP(G45/Sheet1!C$6/Sheet1!C$3)-1)</f>
        <v>0.73933394554946374</v>
      </c>
      <c r="J45" s="2">
        <f>Sheet1!C$15-Sheet1!C$14*(EXP(H45/Sheet1!C$13/Sheet1!C$3)-1)</f>
        <v>0.2347910243979805</v>
      </c>
    </row>
    <row r="46" spans="1:10" x14ac:dyDescent="0.2">
      <c r="A46">
        <v>0.86</v>
      </c>
      <c r="B46">
        <f t="shared" si="3"/>
        <v>0.20667222854339495</v>
      </c>
      <c r="C46" s="2">
        <f>B46*Sheet1!C$25</f>
        <v>5.1923783644543524E-2</v>
      </c>
      <c r="D46" s="2">
        <f>Sheet1!C$6*Sheet1!C$3*LN((Sheet1!C$8-C46)/Sheet1!C$7+1)</f>
        <v>1.412576673275767</v>
      </c>
      <c r="E46" s="2">
        <f>Sheet1!C$13*Sheet1!C$3*LN((Sheet1!C$15-C46)/Sheet1!C$14+1)</f>
        <v>0.43532215290001919</v>
      </c>
      <c r="F46" s="2">
        <f t="shared" si="4"/>
        <v>1.8478988261757863</v>
      </c>
      <c r="G46" s="2">
        <f>A46*Sheet1!F$9</f>
        <v>1.2180175079164659</v>
      </c>
      <c r="H46" s="2">
        <f>A46*Sheet1!F$16</f>
        <v>0.37953389986798497</v>
      </c>
      <c r="I46" s="2">
        <f>Sheet1!C$8-Sheet1!C$7*(EXP(G46/Sheet1!C$6/Sheet1!C$3)-1)</f>
        <v>0.73247202812548817</v>
      </c>
      <c r="J46" s="2">
        <f>Sheet1!C$15-Sheet1!C$14*(EXP(H46/Sheet1!C$13/Sheet1!C$3)-1)</f>
        <v>0.22811291474338635</v>
      </c>
    </row>
    <row r="47" spans="1:10" x14ac:dyDescent="0.2">
      <c r="A47">
        <v>0.88</v>
      </c>
      <c r="B47">
        <f t="shared" si="3"/>
        <v>0.17888923513641275</v>
      </c>
      <c r="C47" s="2">
        <f>B47*Sheet1!C$25</f>
        <v>4.494365792165754E-2</v>
      </c>
      <c r="D47" s="2">
        <f>Sheet1!C$6*Sheet1!C$3*LN((Sheet1!C$8-C47)/Sheet1!C$7+1)</f>
        <v>1.4130929642979537</v>
      </c>
      <c r="E47" s="2">
        <f>Sheet1!C$13*Sheet1!C$3*LN((Sheet1!C$15-C47)/Sheet1!C$14+1)</f>
        <v>0.43621367067385175</v>
      </c>
      <c r="F47" s="2">
        <f t="shared" si="4"/>
        <v>1.8493066349718055</v>
      </c>
      <c r="G47" s="2">
        <f>A47*Sheet1!F$9</f>
        <v>1.2463434964726627</v>
      </c>
      <c r="H47" s="2">
        <f>A47*Sheet1!F$16</f>
        <v>0.38836026963235676</v>
      </c>
      <c r="I47" s="2">
        <f>Sheet1!C$8-Sheet1!C$7*(EXP(G47/Sheet1!C$6/Sheet1!C$3)-1)</f>
        <v>0.72061618701962249</v>
      </c>
      <c r="J47" s="2">
        <f>Sheet1!C$15-Sheet1!C$14*(EXP(H47/Sheet1!C$13/Sheet1!C$3)-1)</f>
        <v>0.21872313873137106</v>
      </c>
    </row>
    <row r="48" spans="1:10" x14ac:dyDescent="0.2">
      <c r="A48">
        <v>0.9</v>
      </c>
      <c r="B48">
        <f t="shared" si="3"/>
        <v>0.15054498803265481</v>
      </c>
      <c r="C48" s="2">
        <f>B48*Sheet1!C$25</f>
        <v>3.7822524305613982E-2</v>
      </c>
      <c r="D48" s="2">
        <f>Sheet1!C$6*Sheet1!C$3*LN((Sheet1!C$8-C48)/Sheet1!C$7+1)</f>
        <v>1.4136144352188269</v>
      </c>
      <c r="E48" s="2">
        <f>Sheet1!C$13*Sheet1!C$3*LN((Sheet1!C$15-C48)/Sheet1!C$14+1)</f>
        <v>0.43709263780974966</v>
      </c>
      <c r="F48" s="2">
        <f t="shared" si="4"/>
        <v>1.8507070730285766</v>
      </c>
      <c r="G48" s="2">
        <f>A48*Sheet1!F$9</f>
        <v>1.2746694850288596</v>
      </c>
      <c r="H48" s="2">
        <f>A48*Sheet1!F$16</f>
        <v>0.39718663939672849</v>
      </c>
      <c r="I48" s="2">
        <f>Sheet1!C$8-Sheet1!C$7*(EXP(G48/Sheet1!C$6/Sheet1!C$3)-1)</f>
        <v>0.70013197544394612</v>
      </c>
      <c r="J48" s="2">
        <f>Sheet1!C$15-Sheet1!C$14*(EXP(H48/Sheet1!C$13/Sheet1!C$3)-1)</f>
        <v>0.20552061614398545</v>
      </c>
    </row>
    <row r="49" spans="1:10" x14ac:dyDescent="0.2">
      <c r="A49">
        <v>0.92</v>
      </c>
      <c r="B49">
        <f t="shared" si="3"/>
        <v>0.12162814915535169</v>
      </c>
      <c r="C49" s="2">
        <f>B49*Sheet1!C$25</f>
        <v>3.055753424801682E-2</v>
      </c>
      <c r="D49" s="2">
        <f>Sheet1!C$6*Sheet1!C$3*LN((Sheet1!C$8-C49)/Sheet1!C$7+1)</f>
        <v>1.4141410853442966</v>
      </c>
      <c r="E49" s="2">
        <f>Sheet1!C$13*Sheet1!C$3*LN((Sheet1!C$15-C49)/Sheet1!C$14+1)</f>
        <v>0.4379596411356701</v>
      </c>
      <c r="F49" s="2">
        <f t="shared" si="4"/>
        <v>1.8521007264799667</v>
      </c>
      <c r="G49" s="2">
        <f>A49*Sheet1!F$9</f>
        <v>1.3029954735850564</v>
      </c>
      <c r="H49" s="2">
        <f>A49*Sheet1!F$16</f>
        <v>0.40601300916110028</v>
      </c>
      <c r="I49" s="2">
        <f>Sheet1!C$8-Sheet1!C$7*(EXP(G49/Sheet1!C$6/Sheet1!C$3)-1)</f>
        <v>0.66473989148041623</v>
      </c>
      <c r="J49" s="2">
        <f>Sheet1!C$15-Sheet1!C$14*(EXP(H49/Sheet1!C$13/Sheet1!C$3)-1)</f>
        <v>0.18695716985438438</v>
      </c>
    </row>
    <row r="50" spans="1:10" x14ac:dyDescent="0.2">
      <c r="A50">
        <v>0.94000000000000006</v>
      </c>
      <c r="B50">
        <f t="shared" si="3"/>
        <v>9.2127151383389227E-2</v>
      </c>
      <c r="C50" s="2">
        <f>B50*Sheet1!C$25</f>
        <v>2.3145781655975133E-2</v>
      </c>
      <c r="D50" s="2">
        <f>Sheet1!C$6*Sheet1!C$3*LN((Sheet1!C$8-C50)/Sheet1!C$7+1)</f>
        <v>1.4146729129449791</v>
      </c>
      <c r="E50" s="2">
        <f>Sheet1!C$13*Sheet1!C$3*LN((Sheet1!C$15-C50)/Sheet1!C$14+1)</f>
        <v>0.43881522949218893</v>
      </c>
      <c r="F50" s="2">
        <f t="shared" si="4"/>
        <v>1.8534881424371681</v>
      </c>
      <c r="G50" s="2">
        <f>A50*Sheet1!F$9</f>
        <v>1.3313214621412535</v>
      </c>
      <c r="H50" s="2">
        <f>A50*Sheet1!F$16</f>
        <v>0.41483937892547201</v>
      </c>
      <c r="I50" s="2">
        <f>Sheet1!C$8-Sheet1!C$7*(EXP(G50/Sheet1!C$6/Sheet1!C$3)-1)</f>
        <v>0.60359037627188594</v>
      </c>
      <c r="J50" s="2">
        <f>Sheet1!C$15-Sheet1!C$14*(EXP(H50/Sheet1!C$13/Sheet1!C$3)-1)</f>
        <v>0.16085598079251923</v>
      </c>
    </row>
    <row r="51" spans="1:10" x14ac:dyDescent="0.2">
      <c r="A51">
        <v>0.96</v>
      </c>
      <c r="B51">
        <f t="shared" si="3"/>
        <v>6.2030193924306976E-2</v>
      </c>
      <c r="C51" s="2">
        <f>B51*Sheet1!C$25</f>
        <v>1.558430172962747E-2</v>
      </c>
      <c r="D51" s="2">
        <f>Sheet1!C$6*Sheet1!C$3*LN((Sheet1!C$8-C51)/Sheet1!C$7+1)</f>
        <v>1.4152099152575774</v>
      </c>
      <c r="E51" s="2">
        <f>Sheet1!C$13*Sheet1!C$3*LN((Sheet1!C$15-C51)/Sheet1!C$14+1)</f>
        <v>0.43965991692992795</v>
      </c>
      <c r="F51" s="2">
        <f t="shared" si="4"/>
        <v>1.8548698321875055</v>
      </c>
      <c r="G51" s="2">
        <f>A51*Sheet1!F$9</f>
        <v>1.3596474506974501</v>
      </c>
      <c r="H51" s="2">
        <f>A51*Sheet1!F$16</f>
        <v>0.42366574868984369</v>
      </c>
      <c r="I51" s="2">
        <f>Sheet1!C$8-Sheet1!C$7*(EXP(G51/Sheet1!C$6/Sheet1!C$3)-1)</f>
        <v>0.49793784634199217</v>
      </c>
      <c r="J51" s="2">
        <f>Sheet1!C$15-Sheet1!C$14*(EXP(H51/Sheet1!C$13/Sheet1!C$3)-1)</f>
        <v>0.12415632600778959</v>
      </c>
    </row>
    <row r="52" spans="1:10" x14ac:dyDescent="0.2">
      <c r="A52">
        <v>0.98</v>
      </c>
      <c r="B52">
        <f t="shared" si="3"/>
        <v>3.1325237593822997E-2</v>
      </c>
      <c r="C52" s="2">
        <f>B52*Sheet1!C$25</f>
        <v>7.8700697761821693E-3</v>
      </c>
      <c r="D52" s="2">
        <f>Sheet1!C$6*Sheet1!C$3*LN((Sheet1!C$8-C52)/Sheet1!C$7+1)</f>
        <v>1.4157520884870913</v>
      </c>
      <c r="E52" s="2">
        <f>Sheet1!C$13*Sheet1!C$3*LN((Sheet1!C$15-C52)/Sheet1!C$14+1)</f>
        <v>0.4404941855773058</v>
      </c>
      <c r="F52" s="2">
        <f t="shared" si="4"/>
        <v>1.856246274064397</v>
      </c>
      <c r="G52" s="2">
        <f>A52*Sheet1!F$9</f>
        <v>1.3879734392536471</v>
      </c>
      <c r="H52" s="2">
        <f>A52*Sheet1!F$16</f>
        <v>0.43249211845421548</v>
      </c>
      <c r="I52" s="2">
        <f>Sheet1!C$8-Sheet1!C$7*(EXP(G52/Sheet1!C$6/Sheet1!C$3)-1)</f>
        <v>0.31539417379574786</v>
      </c>
      <c r="J52" s="2">
        <f>Sheet1!C$15-Sheet1!C$14*(EXP(H52/Sheet1!C$13/Sheet1!C$3)-1)</f>
        <v>7.2554666860153633E-2</v>
      </c>
    </row>
    <row r="53" spans="1:10" x14ac:dyDescent="0.2">
      <c r="A53">
        <v>1</v>
      </c>
      <c r="B53">
        <f t="shared" si="3"/>
        <v>0</v>
      </c>
      <c r="C53" s="2">
        <f>B53*Sheet1!C$25</f>
        <v>0</v>
      </c>
      <c r="D53" s="2">
        <f>Sheet1!C$6*Sheet1!C$3*LN((Sheet1!C$8-C53)/Sheet1!C$7+1)</f>
        <v>1.416299427809844</v>
      </c>
      <c r="E53" s="2">
        <f>Sheet1!C$13*Sheet1!C$3*LN((Sheet1!C$15-C53)/Sheet1!C$14+1)</f>
        <v>0.44131848821858721</v>
      </c>
      <c r="F53" s="2">
        <f t="shared" si="4"/>
        <v>1.8576179160284312</v>
      </c>
      <c r="G53" s="2">
        <f>A53*Sheet1!F$9</f>
        <v>1.416299427809844</v>
      </c>
      <c r="H53" s="2">
        <f>A53*Sheet1!F$16</f>
        <v>0.44131848821858721</v>
      </c>
      <c r="I53" s="2">
        <f>Sheet1!C$8-Sheet1!C$7*(EXP(G53/Sheet1!C$6/Sheet1!C$3)-1)</f>
        <v>0</v>
      </c>
      <c r="J53" s="2">
        <f>Sheet1!C$15-Sheet1!C$14*(EXP(H53/Sheet1!C$13/Sheet1!C$3)-1)</f>
        <v>0</v>
      </c>
    </row>
    <row r="54" spans="1:10" x14ac:dyDescent="0.2">
      <c r="C54" s="9"/>
      <c r="D54" s="9"/>
      <c r="E54" s="9"/>
      <c r="F54" s="9"/>
      <c r="G54" s="9"/>
      <c r="H54" s="9"/>
    </row>
    <row r="55" spans="1:10" x14ac:dyDescent="0.2">
      <c r="C55" s="9"/>
      <c r="D55" s="9"/>
      <c r="E55" s="9"/>
      <c r="F55" s="9"/>
      <c r="G55" s="9"/>
      <c r="H55" s="9"/>
    </row>
    <row r="56" spans="1:10" x14ac:dyDescent="0.2">
      <c r="C56" s="9"/>
      <c r="D56" s="9"/>
      <c r="E56" s="9"/>
      <c r="F56" s="9"/>
      <c r="G56" s="9"/>
      <c r="H56" s="9"/>
    </row>
    <row r="57" spans="1:10" x14ac:dyDescent="0.2">
      <c r="C57" s="9"/>
      <c r="D57" s="9"/>
      <c r="E57" s="9"/>
      <c r="F57" s="9"/>
      <c r="G57" s="9"/>
      <c r="H57" s="9"/>
    </row>
    <row r="58" spans="1:10" x14ac:dyDescent="0.2">
      <c r="C58" s="9"/>
      <c r="D58" s="9"/>
      <c r="E58" s="9"/>
      <c r="F58" s="9"/>
      <c r="G58" s="9"/>
      <c r="H58" s="9"/>
    </row>
    <row r="59" spans="1:10" x14ac:dyDescent="0.2">
      <c r="C59" s="9"/>
      <c r="D59" s="9"/>
      <c r="E59" s="9"/>
      <c r="F59" s="9"/>
      <c r="G59" s="9"/>
      <c r="H59" s="9"/>
    </row>
    <row r="60" spans="1:10" x14ac:dyDescent="0.2">
      <c r="C60" s="9"/>
      <c r="D60" s="9"/>
      <c r="E60" s="9"/>
      <c r="F60" s="9"/>
      <c r="G60" s="9"/>
      <c r="H60" s="9"/>
    </row>
    <row r="61" spans="1:10" x14ac:dyDescent="0.2">
      <c r="C61" s="9"/>
      <c r="D61" s="9"/>
      <c r="E61" s="9"/>
      <c r="F61" s="9"/>
      <c r="G61" s="9"/>
      <c r="H61" s="9"/>
    </row>
    <row r="62" spans="1:10" x14ac:dyDescent="0.2">
      <c r="C62" s="9"/>
      <c r="D62" s="9"/>
      <c r="E62" s="9"/>
      <c r="F62" s="9"/>
      <c r="G62" s="9"/>
      <c r="H62" s="9"/>
    </row>
    <row r="63" spans="1:10" x14ac:dyDescent="0.2">
      <c r="C63" s="9"/>
      <c r="D63" s="9"/>
      <c r="E63" s="9"/>
      <c r="F63" s="9"/>
      <c r="G63" s="9"/>
      <c r="H63" s="9"/>
    </row>
    <row r="64" spans="1:10" x14ac:dyDescent="0.2">
      <c r="C64" s="9"/>
      <c r="D64" s="9"/>
      <c r="E64" s="9"/>
      <c r="F64" s="9"/>
      <c r="G64" s="9"/>
      <c r="H64" s="9"/>
    </row>
    <row r="65" spans="3:8" x14ac:dyDescent="0.2">
      <c r="C65" s="9"/>
      <c r="D65" s="9"/>
      <c r="E65" s="9"/>
      <c r="F65" s="9"/>
      <c r="G65" s="9"/>
      <c r="H65" s="9"/>
    </row>
    <row r="66" spans="3:8" x14ac:dyDescent="0.2">
      <c r="C66" s="9"/>
      <c r="D66" s="9"/>
      <c r="E66" s="9"/>
      <c r="F66" s="9"/>
      <c r="G66" s="9"/>
      <c r="H66" s="9"/>
    </row>
    <row r="67" spans="3:8" x14ac:dyDescent="0.2">
      <c r="C67" s="9"/>
      <c r="D67" s="9"/>
      <c r="E67" s="9"/>
      <c r="F67" s="9"/>
      <c r="G67" s="9"/>
      <c r="H67" s="9"/>
    </row>
    <row r="68" spans="3:8" x14ac:dyDescent="0.2">
      <c r="C68" s="9"/>
      <c r="D68" s="9"/>
      <c r="E68" s="9"/>
      <c r="F68" s="9"/>
      <c r="G68" s="9"/>
      <c r="H68" s="9"/>
    </row>
    <row r="69" spans="3:8" x14ac:dyDescent="0.2">
      <c r="C69" s="9"/>
      <c r="D69" s="9"/>
      <c r="E69" s="9"/>
      <c r="F69" s="9"/>
      <c r="G69" s="9"/>
      <c r="H69" s="9"/>
    </row>
    <row r="70" spans="3:8" x14ac:dyDescent="0.2">
      <c r="C70" s="9"/>
      <c r="D70" s="9"/>
      <c r="E70" s="9"/>
      <c r="F70" s="9"/>
      <c r="G70" s="9"/>
      <c r="H70" s="9"/>
    </row>
    <row r="71" spans="3:8" x14ac:dyDescent="0.2">
      <c r="C71" s="9"/>
      <c r="D71" s="9"/>
      <c r="E71" s="9"/>
      <c r="F71" s="9"/>
      <c r="G71" s="9"/>
      <c r="H71" s="9"/>
    </row>
    <row r="72" spans="3:8" x14ac:dyDescent="0.2">
      <c r="C72" s="9"/>
      <c r="D72" s="9"/>
      <c r="E72" s="9"/>
      <c r="F72" s="9"/>
      <c r="G72" s="9"/>
      <c r="H72" s="9"/>
    </row>
    <row r="73" spans="3:8" x14ac:dyDescent="0.2">
      <c r="C73" s="9"/>
      <c r="D73" s="9"/>
      <c r="E73" s="9"/>
      <c r="F73" s="9"/>
      <c r="G73" s="9"/>
      <c r="H73" s="9"/>
    </row>
    <row r="74" spans="3:8" x14ac:dyDescent="0.2">
      <c r="C74" s="9"/>
      <c r="D74" s="9"/>
      <c r="E74" s="9"/>
      <c r="F74" s="9"/>
      <c r="G74" s="9"/>
      <c r="H74" s="9"/>
    </row>
    <row r="75" spans="3:8" x14ac:dyDescent="0.2">
      <c r="C75" s="9"/>
      <c r="D75" s="9"/>
      <c r="E75" s="9"/>
      <c r="F75" s="9"/>
      <c r="G75" s="9"/>
      <c r="H75" s="9"/>
    </row>
    <row r="76" spans="3:8" x14ac:dyDescent="0.2">
      <c r="C76" s="9"/>
      <c r="D76" s="9"/>
      <c r="E76" s="9"/>
      <c r="F76" s="9"/>
      <c r="G76" s="9"/>
      <c r="H76" s="9"/>
    </row>
    <row r="77" spans="3:8" x14ac:dyDescent="0.2">
      <c r="C77" s="9"/>
      <c r="D77" s="9"/>
      <c r="E77" s="9"/>
      <c r="F77" s="9"/>
      <c r="G77" s="9"/>
      <c r="H77" s="9"/>
    </row>
    <row r="78" spans="3:8" x14ac:dyDescent="0.2">
      <c r="C78" s="9"/>
      <c r="D78" s="9"/>
      <c r="E78" s="9"/>
      <c r="F78" s="9"/>
      <c r="G78" s="9"/>
      <c r="H78" s="9"/>
    </row>
    <row r="79" spans="3:8" x14ac:dyDescent="0.2">
      <c r="C79" s="9"/>
      <c r="D79" s="9"/>
      <c r="E79" s="9"/>
      <c r="F79" s="9"/>
      <c r="G79" s="9"/>
      <c r="H79" s="9"/>
    </row>
    <row r="80" spans="3:8" x14ac:dyDescent="0.2">
      <c r="C80" s="9"/>
      <c r="D80" s="9"/>
      <c r="E80" s="9"/>
      <c r="F80" s="9"/>
      <c r="G80" s="9"/>
      <c r="H80" s="9"/>
    </row>
    <row r="81" spans="3:8" x14ac:dyDescent="0.2">
      <c r="C81" s="9"/>
      <c r="D81" s="9"/>
      <c r="E81" s="9"/>
      <c r="F81" s="9"/>
      <c r="G81" s="9"/>
      <c r="H81" s="9"/>
    </row>
    <row r="82" spans="3:8" x14ac:dyDescent="0.2">
      <c r="C82" s="9"/>
      <c r="D82" s="9"/>
      <c r="E82" s="9"/>
      <c r="F82" s="9"/>
      <c r="G82" s="9"/>
      <c r="H82" s="9"/>
    </row>
    <row r="83" spans="3:8" x14ac:dyDescent="0.2">
      <c r="C83" s="9"/>
      <c r="D83" s="9"/>
      <c r="E83" s="9"/>
      <c r="F83" s="9"/>
      <c r="G83" s="9"/>
      <c r="H83" s="9"/>
    </row>
    <row r="84" spans="3:8" x14ac:dyDescent="0.2">
      <c r="C84" s="9"/>
      <c r="D84" s="9"/>
      <c r="E84" s="9"/>
      <c r="F84" s="9"/>
      <c r="G84" s="9"/>
      <c r="H84" s="9"/>
    </row>
    <row r="85" spans="3:8" x14ac:dyDescent="0.2">
      <c r="C85" s="9"/>
      <c r="D85" s="9"/>
      <c r="E85" s="9"/>
      <c r="F85" s="9"/>
      <c r="G85" s="9"/>
      <c r="H85" s="9"/>
    </row>
    <row r="86" spans="3:8" x14ac:dyDescent="0.2">
      <c r="C86" s="9"/>
      <c r="D86" s="9"/>
      <c r="E86" s="9"/>
      <c r="F86" s="9"/>
      <c r="G86" s="9"/>
      <c r="H86" s="9"/>
    </row>
    <row r="87" spans="3:8" x14ac:dyDescent="0.2">
      <c r="C87" s="9"/>
      <c r="D87" s="9"/>
      <c r="E87" s="9"/>
      <c r="F87" s="9"/>
      <c r="G87" s="9"/>
      <c r="H87" s="9"/>
    </row>
    <row r="88" spans="3:8" x14ac:dyDescent="0.2">
      <c r="C88" s="9"/>
      <c r="D88" s="9"/>
      <c r="E88" s="9"/>
      <c r="F88" s="9"/>
      <c r="G88" s="9"/>
      <c r="H88" s="9"/>
    </row>
    <row r="89" spans="3:8" x14ac:dyDescent="0.2">
      <c r="C89" s="9"/>
      <c r="D89" s="9"/>
      <c r="E89" s="9"/>
      <c r="F89" s="9"/>
      <c r="G89" s="9"/>
      <c r="H89" s="9"/>
    </row>
    <row r="90" spans="3:8" x14ac:dyDescent="0.2">
      <c r="C90" s="9"/>
      <c r="D90" s="9"/>
      <c r="E90" s="9"/>
      <c r="F90" s="9"/>
      <c r="G90" s="9"/>
      <c r="H90" s="9"/>
    </row>
    <row r="91" spans="3:8" x14ac:dyDescent="0.2">
      <c r="C91" s="9"/>
      <c r="D91" s="9"/>
      <c r="E91" s="9"/>
      <c r="F91" s="9"/>
      <c r="G91" s="9"/>
      <c r="H91" s="9"/>
    </row>
    <row r="92" spans="3:8" x14ac:dyDescent="0.2">
      <c r="C92" s="9"/>
      <c r="D92" s="9"/>
      <c r="E92" s="9"/>
      <c r="F92" s="9"/>
      <c r="G92" s="9"/>
      <c r="H92" s="9"/>
    </row>
    <row r="93" spans="3:8" x14ac:dyDescent="0.2">
      <c r="C93" s="9"/>
      <c r="D93" s="9"/>
      <c r="E93" s="9"/>
      <c r="F93" s="9"/>
      <c r="G93" s="9"/>
      <c r="H93" s="9"/>
    </row>
    <row r="94" spans="3:8" x14ac:dyDescent="0.2">
      <c r="C94" s="9"/>
      <c r="D94" s="9"/>
      <c r="E94" s="9"/>
      <c r="F94" s="9"/>
      <c r="G94" s="9"/>
      <c r="H94" s="9"/>
    </row>
    <row r="95" spans="3:8" x14ac:dyDescent="0.2">
      <c r="C95" s="9"/>
      <c r="D95" s="9"/>
      <c r="E95" s="9"/>
      <c r="F95" s="9"/>
      <c r="G95" s="9"/>
      <c r="H95" s="9"/>
    </row>
    <row r="96" spans="3:8" x14ac:dyDescent="0.2">
      <c r="C96" s="9"/>
      <c r="D96" s="9"/>
      <c r="E96" s="9"/>
      <c r="F96" s="9"/>
      <c r="G96" s="9"/>
      <c r="H96" s="9"/>
    </row>
    <row r="97" spans="3:8" x14ac:dyDescent="0.2">
      <c r="C97" s="9"/>
      <c r="D97" s="9"/>
      <c r="E97" s="9"/>
      <c r="F97" s="9"/>
      <c r="G97" s="9"/>
      <c r="H97" s="9"/>
    </row>
    <row r="98" spans="3:8" x14ac:dyDescent="0.2">
      <c r="C98" s="9"/>
      <c r="D98" s="9"/>
      <c r="E98" s="9"/>
      <c r="F98" s="9"/>
      <c r="G98" s="9"/>
      <c r="H98" s="9"/>
    </row>
    <row r="99" spans="3:8" x14ac:dyDescent="0.2">
      <c r="C99" s="9"/>
      <c r="D99" s="9"/>
      <c r="E99" s="9"/>
      <c r="F99" s="9"/>
      <c r="G99" s="9"/>
      <c r="H99" s="9"/>
    </row>
    <row r="100" spans="3:8" x14ac:dyDescent="0.2">
      <c r="C100" s="9"/>
      <c r="D100" s="9"/>
      <c r="E100" s="9"/>
      <c r="F100" s="9"/>
      <c r="G100" s="9"/>
      <c r="H100" s="9"/>
    </row>
    <row r="101" spans="3:8" x14ac:dyDescent="0.2">
      <c r="C101" s="9"/>
      <c r="D101" s="9"/>
      <c r="E101" s="9"/>
      <c r="F101" s="9"/>
      <c r="G101" s="9"/>
      <c r="H101" s="9"/>
    </row>
    <row r="102" spans="3:8" x14ac:dyDescent="0.2">
      <c r="C102" s="9"/>
      <c r="D102" s="9"/>
      <c r="E102" s="9"/>
      <c r="F102" s="9"/>
      <c r="G102" s="9"/>
      <c r="H102" s="9"/>
    </row>
    <row r="103" spans="3:8" x14ac:dyDescent="0.2">
      <c r="C103" s="9"/>
      <c r="D103" s="9"/>
      <c r="E103" s="9"/>
      <c r="F103" s="9"/>
      <c r="G103" s="9"/>
      <c r="H103" s="9"/>
    </row>
    <row r="104" spans="3:8" x14ac:dyDescent="0.2">
      <c r="C104" s="1"/>
      <c r="D104" s="1"/>
      <c r="E104" s="1"/>
    </row>
    <row r="105" spans="3:8" x14ac:dyDescent="0.2">
      <c r="C105" s="1"/>
      <c r="D105" s="1"/>
      <c r="E105" s="1"/>
    </row>
    <row r="106" spans="3:8" x14ac:dyDescent="0.2">
      <c r="C106" s="1"/>
      <c r="D106" s="1"/>
      <c r="E106" s="1"/>
    </row>
    <row r="107" spans="3:8" x14ac:dyDescent="0.2">
      <c r="C107" s="1"/>
      <c r="D107" s="1"/>
      <c r="E107" s="1"/>
    </row>
    <row r="108" spans="3:8" x14ac:dyDescent="0.2">
      <c r="C108" s="1"/>
      <c r="D108" s="1"/>
      <c r="E108" s="1"/>
    </row>
    <row r="109" spans="3:8" x14ac:dyDescent="0.2">
      <c r="C109" s="1"/>
      <c r="D109" s="1"/>
      <c r="E109" s="1"/>
    </row>
    <row r="110" spans="3:8" x14ac:dyDescent="0.2">
      <c r="C110" s="1"/>
      <c r="D110" s="1"/>
      <c r="E110" s="1"/>
    </row>
    <row r="111" spans="3:8" x14ac:dyDescent="0.2">
      <c r="C111" s="1"/>
      <c r="D111" s="1"/>
      <c r="E11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Sheet1</vt:lpstr>
      <vt:lpstr>Sheet3</vt:lpstr>
      <vt:lpstr>I0_1_mA</vt:lpstr>
      <vt:lpstr>I0_2_mA</vt:lpstr>
      <vt:lpstr>I1m_mA</vt:lpstr>
      <vt:lpstr>I2m_mA</vt:lpstr>
      <vt:lpstr>Ierror</vt:lpstr>
      <vt:lpstr>Im_mA</vt:lpstr>
      <vt:lpstr>Ip_1_mA</vt:lpstr>
      <vt:lpstr>Ip_2_mA</vt:lpstr>
      <vt:lpstr>Ip_mA</vt:lpstr>
      <vt:lpstr>Isc_mA</vt:lpstr>
      <vt:lpstr>n_1</vt:lpstr>
      <vt:lpstr>n_2</vt:lpstr>
      <vt:lpstr>P1m_mW</vt:lpstr>
      <vt:lpstr>P2m_mW</vt:lpstr>
      <vt:lpstr>Pm_mW</vt:lpstr>
      <vt:lpstr>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2024-03-14T17:59:30Z</dcterms:created>
  <dcterms:modified xsi:type="dcterms:W3CDTF">2024-03-24T22:49:08Z</dcterms:modified>
</cp:coreProperties>
</file>