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028" codeName="{C80E003A-6C80-AF87-3323-10F97C11A349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phil3/Documents/calcs/SQ_multijunc/"/>
    </mc:Choice>
  </mc:AlternateContent>
  <xr:revisionPtr revIDLastSave="0" documentId="13_ncr:1_{27EA933D-EF9D-8642-8F2D-2782CB92FB48}" xr6:coauthVersionLast="47" xr6:coauthVersionMax="47" xr10:uidLastSave="{00000000-0000-0000-0000-000000000000}"/>
  <bookViews>
    <workbookView xWindow="780" yWindow="1400" windowWidth="26420" windowHeight="14740" activeTab="1" xr2:uid="{F39901F2-9B9C-3F40-87C6-17C8C951FC81}"/>
  </bookViews>
  <sheets>
    <sheet name="tandem" sheetId="1" r:id="rId1"/>
    <sheet name="calc" sheetId="3" r:id="rId2"/>
  </sheets>
  <definedNames>
    <definedName name="I0_1_mA">tandem!$C$7</definedName>
    <definedName name="I0_2_mA">tandem!$C$14</definedName>
    <definedName name="I1m_mA">tandem!$F$7</definedName>
    <definedName name="I2m_mA">tandem!$F$14</definedName>
    <definedName name="Ierror">tandem!$E$30</definedName>
    <definedName name="Im_mA">tandem!$C$21</definedName>
    <definedName name="Ip_1_mA">tandem!$C$8</definedName>
    <definedName name="Ip_2_mA">tandem!$C$15</definedName>
    <definedName name="Ip_mA">tandem!$C$2</definedName>
    <definedName name="Isc_mA">tandem!$C$25</definedName>
    <definedName name="n_1">tandem!$C$6</definedName>
    <definedName name="n_2">tandem!$C$13</definedName>
    <definedName name="P1m_mW">tandem!$F$8</definedName>
    <definedName name="P2m_mW">tandem!$F$15</definedName>
    <definedName name="Pm_mW">tandem!$C$22</definedName>
    <definedName name="solver_adj" localSheetId="0" hidden="1">tandem!$F$14</definedName>
    <definedName name="solver_cvg" localSheetId="0" hidden="1">0.0001</definedName>
    <definedName name="solver_drv" localSheetId="0" hidden="1">1</definedName>
    <definedName name="solver_eng" localSheetId="0" hidden="1">1</definedName>
    <definedName name="solver_itr" localSheetId="0" hidden="1">2147483647</definedName>
    <definedName name="solver_lhs1" localSheetId="0" hidden="1">tandem!$C$21</definedName>
    <definedName name="solver_lhs2" localSheetId="0" hidden="1">tandem!$C$21</definedName>
    <definedName name="solver_lin" localSheetId="0" hidden="1">2</definedName>
    <definedName name="solver_mip" localSheetId="0" hidden="1">2147483647</definedName>
    <definedName name="solver_mni" localSheetId="0" hidden="1">2</definedName>
    <definedName name="solver_mrt" localSheetId="0" hidden="1">0.075</definedName>
    <definedName name="solver_msl" localSheetId="0" hidden="1">2</definedName>
    <definedName name="solver_neg" localSheetId="0" hidden="1">2</definedName>
    <definedName name="solver_nod" localSheetId="0" hidden="1">2147483647</definedName>
    <definedName name="solver_num" localSheetId="0" hidden="1">0</definedName>
    <definedName name="solver_opt" localSheetId="0" hidden="1">tandem!$F$15</definedName>
    <definedName name="solver_pre" localSheetId="0" hidden="1">0.000001</definedName>
    <definedName name="solver_rbv" localSheetId="0" hidden="1">2</definedName>
    <definedName name="solver_rel1" localSheetId="0" hidden="1">1</definedName>
    <definedName name="solver_rel2" localSheetId="0" hidden="1">1</definedName>
    <definedName name="solver_rhs1" localSheetId="0" hidden="1">tandem!#REF!</definedName>
    <definedName name="solver_rhs2" localSheetId="0" hidden="1">tandem!#REF!</definedName>
    <definedName name="solver_rlx" localSheetId="0" hidden="1">2</definedName>
    <definedName name="solver_rsd" localSheetId="0" hidden="1">0</definedName>
    <definedName name="solver_scl" localSheetId="0" hidden="1">1</definedName>
    <definedName name="solver_sho" localSheetId="0" hidden="1">2</definedName>
    <definedName name="solver_ssz" localSheetId="0" hidden="1">100</definedName>
    <definedName name="solver_tim" localSheetId="0" hidden="1">2</definedName>
    <definedName name="solver_tol" localSheetId="0" hidden="1">0.01</definedName>
    <definedName name="solver_typ" localSheetId="0" hidden="1">1</definedName>
    <definedName name="solver_val" localSheetId="0" hidden="1">0</definedName>
    <definedName name="solver_ver" localSheetId="0" hidden="1">2</definedName>
    <definedName name="SolveState">tandem!$D$33</definedName>
    <definedName name="u">tandem!$E$29</definedName>
    <definedName name="V1_V">tandem!$C$9</definedName>
    <definedName name="V2_V">tandem!$C$16</definedName>
    <definedName name="Voc_V">tandem!$C$24</definedName>
  </definedNames>
  <calcPr calcId="191029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3" i="3" l="1"/>
  <c r="G4" i="3"/>
  <c r="H4" i="3"/>
  <c r="G5" i="3"/>
  <c r="H5" i="3"/>
  <c r="G6" i="3"/>
  <c r="H6" i="3"/>
  <c r="G7" i="3"/>
  <c r="H7" i="3"/>
  <c r="G8" i="3"/>
  <c r="H8" i="3"/>
  <c r="G9" i="3"/>
  <c r="H9" i="3"/>
  <c r="G10" i="3"/>
  <c r="H10" i="3"/>
  <c r="G11" i="3"/>
  <c r="H11" i="3"/>
  <c r="G12" i="3"/>
  <c r="H12" i="3"/>
  <c r="G13" i="3"/>
  <c r="H13" i="3"/>
  <c r="G14" i="3"/>
  <c r="H14" i="3"/>
  <c r="G15" i="3"/>
  <c r="H15" i="3"/>
  <c r="G16" i="3"/>
  <c r="H16" i="3"/>
  <c r="G17" i="3"/>
  <c r="H17" i="3"/>
  <c r="G18" i="3"/>
  <c r="H18" i="3"/>
  <c r="G19" i="3"/>
  <c r="H19" i="3"/>
  <c r="G20" i="3"/>
  <c r="H20" i="3"/>
  <c r="G21" i="3"/>
  <c r="H21" i="3"/>
  <c r="G22" i="3"/>
  <c r="H22" i="3"/>
  <c r="G23" i="3"/>
  <c r="H23" i="3"/>
  <c r="G24" i="3"/>
  <c r="H24" i="3"/>
  <c r="G25" i="3"/>
  <c r="H25" i="3"/>
  <c r="G26" i="3"/>
  <c r="H26" i="3"/>
  <c r="G27" i="3"/>
  <c r="H27" i="3"/>
  <c r="G28" i="3"/>
  <c r="H28" i="3"/>
  <c r="G29" i="3"/>
  <c r="H29" i="3"/>
  <c r="G30" i="3"/>
  <c r="H30" i="3"/>
  <c r="G31" i="3"/>
  <c r="H31" i="3"/>
  <c r="G32" i="3"/>
  <c r="H32" i="3"/>
  <c r="G33" i="3"/>
  <c r="H33" i="3"/>
  <c r="G34" i="3"/>
  <c r="H34" i="3"/>
  <c r="G35" i="3"/>
  <c r="H35" i="3"/>
  <c r="G36" i="3"/>
  <c r="H36" i="3"/>
  <c r="G37" i="3"/>
  <c r="H37" i="3"/>
  <c r="G38" i="3"/>
  <c r="H38" i="3"/>
  <c r="G39" i="3"/>
  <c r="H39" i="3"/>
  <c r="G40" i="3"/>
  <c r="H40" i="3"/>
  <c r="G41" i="3"/>
  <c r="H41" i="3"/>
  <c r="G42" i="3"/>
  <c r="H42" i="3"/>
  <c r="G43" i="3"/>
  <c r="H43" i="3"/>
  <c r="G44" i="3"/>
  <c r="H44" i="3"/>
  <c r="G45" i="3"/>
  <c r="H45" i="3"/>
  <c r="G46" i="3"/>
  <c r="H46" i="3"/>
  <c r="G47" i="3"/>
  <c r="H47" i="3"/>
  <c r="G48" i="3"/>
  <c r="H48" i="3"/>
  <c r="G49" i="3"/>
  <c r="H49" i="3"/>
  <c r="G50" i="3"/>
  <c r="H50" i="3"/>
  <c r="G51" i="3"/>
  <c r="H51" i="3"/>
  <c r="G52" i="3"/>
  <c r="H52" i="3"/>
  <c r="G53" i="3"/>
  <c r="H53" i="3"/>
  <c r="H3" i="3"/>
  <c r="G3" i="3"/>
  <c r="M2" i="3"/>
  <c r="M4" i="3" s="1"/>
  <c r="B53" i="3"/>
  <c r="C53" i="3" s="1"/>
  <c r="B52" i="3"/>
  <c r="C52" i="3" s="1"/>
  <c r="D52" i="3" s="1"/>
  <c r="B51" i="3"/>
  <c r="C51" i="3" s="1"/>
  <c r="B50" i="3"/>
  <c r="C50" i="3" s="1"/>
  <c r="B49" i="3"/>
  <c r="C49" i="3" s="1"/>
  <c r="B48" i="3"/>
  <c r="C48" i="3" s="1"/>
  <c r="B47" i="3"/>
  <c r="C47" i="3" s="1"/>
  <c r="B46" i="3"/>
  <c r="C46" i="3" s="1"/>
  <c r="B45" i="3"/>
  <c r="C45" i="3" s="1"/>
  <c r="B44" i="3"/>
  <c r="C44" i="3" s="1"/>
  <c r="B43" i="3"/>
  <c r="C43" i="3" s="1"/>
  <c r="B42" i="3"/>
  <c r="C42" i="3" s="1"/>
  <c r="B41" i="3"/>
  <c r="C41" i="3" s="1"/>
  <c r="B40" i="3"/>
  <c r="C40" i="3" s="1"/>
  <c r="B39" i="3"/>
  <c r="C39" i="3" s="1"/>
  <c r="B38" i="3"/>
  <c r="C38" i="3" s="1"/>
  <c r="B37" i="3"/>
  <c r="C37" i="3" s="1"/>
  <c r="B36" i="3"/>
  <c r="C36" i="3" s="1"/>
  <c r="B35" i="3"/>
  <c r="C35" i="3" s="1"/>
  <c r="B34" i="3"/>
  <c r="C34" i="3" s="1"/>
  <c r="B33" i="3"/>
  <c r="C33" i="3" s="1"/>
  <c r="B32" i="3"/>
  <c r="C32" i="3" s="1"/>
  <c r="B31" i="3"/>
  <c r="C31" i="3" s="1"/>
  <c r="B30" i="3"/>
  <c r="C30" i="3" s="1"/>
  <c r="B29" i="3"/>
  <c r="C29" i="3" s="1"/>
  <c r="B28" i="3"/>
  <c r="C28" i="3" s="1"/>
  <c r="B27" i="3"/>
  <c r="C27" i="3" s="1"/>
  <c r="B26" i="3"/>
  <c r="C26" i="3" s="1"/>
  <c r="B25" i="3"/>
  <c r="C25" i="3" s="1"/>
  <c r="B24" i="3"/>
  <c r="C24" i="3" s="1"/>
  <c r="B23" i="3"/>
  <c r="C23" i="3" s="1"/>
  <c r="B22" i="3"/>
  <c r="C22" i="3" s="1"/>
  <c r="B21" i="3"/>
  <c r="C21" i="3" s="1"/>
  <c r="B20" i="3"/>
  <c r="C20" i="3" s="1"/>
  <c r="B19" i="3"/>
  <c r="C19" i="3" s="1"/>
  <c r="B18" i="3"/>
  <c r="C18" i="3" s="1"/>
  <c r="B17" i="3"/>
  <c r="C17" i="3" s="1"/>
  <c r="B16" i="3"/>
  <c r="C16" i="3" s="1"/>
  <c r="B15" i="3"/>
  <c r="C15" i="3" s="1"/>
  <c r="B14" i="3"/>
  <c r="C14" i="3" s="1"/>
  <c r="B13" i="3"/>
  <c r="C13" i="3" s="1"/>
  <c r="B12" i="3"/>
  <c r="C12" i="3" s="1"/>
  <c r="B11" i="3"/>
  <c r="C11" i="3" s="1"/>
  <c r="B10" i="3"/>
  <c r="C10" i="3" s="1"/>
  <c r="B9" i="3"/>
  <c r="C9" i="3" s="1"/>
  <c r="B8" i="3"/>
  <c r="C8" i="3" s="1"/>
  <c r="B7" i="3"/>
  <c r="C7" i="3" s="1"/>
  <c r="B6" i="3"/>
  <c r="C6" i="3" s="1"/>
  <c r="B5" i="3"/>
  <c r="C5" i="3" s="1"/>
  <c r="B4" i="3"/>
  <c r="C4" i="3" s="1"/>
  <c r="B3" i="3"/>
  <c r="C3" i="3" s="1"/>
  <c r="E6" i="3" l="1"/>
  <c r="D6" i="3"/>
  <c r="E10" i="3"/>
  <c r="D10" i="3"/>
  <c r="E14" i="3"/>
  <c r="D14" i="3"/>
  <c r="E18" i="3"/>
  <c r="D18" i="3"/>
  <c r="E22" i="3"/>
  <c r="D22" i="3"/>
  <c r="E26" i="3"/>
  <c r="D26" i="3"/>
  <c r="E30" i="3"/>
  <c r="D30" i="3"/>
  <c r="E34" i="3"/>
  <c r="D34" i="3"/>
  <c r="E38" i="3"/>
  <c r="D38" i="3"/>
  <c r="E42" i="3"/>
  <c r="D42" i="3"/>
  <c r="E46" i="3"/>
  <c r="D46" i="3"/>
  <c r="E50" i="3"/>
  <c r="D50" i="3"/>
  <c r="E3" i="3"/>
  <c r="D3" i="3"/>
  <c r="D7" i="3"/>
  <c r="E7" i="3"/>
  <c r="D11" i="3"/>
  <c r="E11" i="3"/>
  <c r="D15" i="3"/>
  <c r="E15" i="3"/>
  <c r="D19" i="3"/>
  <c r="E19" i="3"/>
  <c r="D23" i="3"/>
  <c r="E23" i="3"/>
  <c r="D27" i="3"/>
  <c r="E27" i="3"/>
  <c r="D31" i="3"/>
  <c r="E31" i="3"/>
  <c r="D35" i="3"/>
  <c r="E35" i="3"/>
  <c r="D39" i="3"/>
  <c r="E39" i="3"/>
  <c r="D43" i="3"/>
  <c r="E43" i="3"/>
  <c r="D47" i="3"/>
  <c r="E47" i="3"/>
  <c r="D51" i="3"/>
  <c r="E51" i="3"/>
  <c r="D4" i="3"/>
  <c r="E4" i="3"/>
  <c r="D8" i="3"/>
  <c r="E8" i="3"/>
  <c r="D12" i="3"/>
  <c r="E12" i="3"/>
  <c r="D16" i="3"/>
  <c r="E16" i="3"/>
  <c r="D20" i="3"/>
  <c r="E20" i="3"/>
  <c r="D24" i="3"/>
  <c r="E24" i="3"/>
  <c r="D28" i="3"/>
  <c r="E28" i="3"/>
  <c r="D32" i="3"/>
  <c r="E32" i="3"/>
  <c r="D36" i="3"/>
  <c r="E36" i="3"/>
  <c r="D40" i="3"/>
  <c r="E40" i="3"/>
  <c r="D44" i="3"/>
  <c r="E44" i="3"/>
  <c r="D48" i="3"/>
  <c r="E48" i="3"/>
  <c r="D5" i="3"/>
  <c r="E5" i="3"/>
  <c r="D9" i="3"/>
  <c r="E9" i="3"/>
  <c r="D13" i="3"/>
  <c r="E13" i="3"/>
  <c r="D17" i="3"/>
  <c r="E17" i="3"/>
  <c r="D21" i="3"/>
  <c r="E21" i="3"/>
  <c r="D25" i="3"/>
  <c r="E25" i="3"/>
  <c r="D29" i="3"/>
  <c r="E29" i="3"/>
  <c r="D33" i="3"/>
  <c r="E33" i="3"/>
  <c r="D37" i="3"/>
  <c r="E37" i="3"/>
  <c r="D41" i="3"/>
  <c r="E41" i="3"/>
  <c r="D45" i="3"/>
  <c r="E45" i="3"/>
  <c r="D49" i="3"/>
  <c r="E49" i="3"/>
  <c r="D53" i="3"/>
  <c r="E53" i="3"/>
  <c r="E52" i="3"/>
  <c r="M3" i="3"/>
  <c r="L16" i="3" s="1"/>
  <c r="L13" i="3"/>
  <c r="M13" i="3" s="1"/>
  <c r="L15" i="3"/>
  <c r="M15" i="3" s="1"/>
  <c r="M16" i="3" l="1"/>
  <c r="M9" i="3" s="1"/>
  <c r="L14" i="3"/>
  <c r="L9" i="3"/>
  <c r="M8" i="3"/>
  <c r="L8" i="3"/>
  <c r="L6" i="3"/>
  <c r="M6" i="3" s="1"/>
  <c r="L7" i="3" l="1"/>
  <c r="M14" i="3"/>
  <c r="M7" i="3" s="1"/>
  <c r="M10" i="3" s="1"/>
  <c r="M17" i="3" l="1"/>
  <c r="M18" i="3" s="1"/>
  <c r="M11" i="3" s="1"/>
  <c r="C4" i="1" l="1"/>
  <c r="C15" i="1" s="1"/>
  <c r="M22" i="3" s="1"/>
  <c r="C8" i="1" l="1"/>
  <c r="M21" i="3" s="1"/>
  <c r="E30" i="1" s="1"/>
  <c r="F17" i="1"/>
  <c r="F16" i="1"/>
  <c r="C16" i="1"/>
  <c r="C17" i="1" s="1"/>
  <c r="F13" i="1"/>
  <c r="F15" i="1" s="1"/>
  <c r="C24" i="1" l="1"/>
  <c r="F6" i="1"/>
  <c r="F8" i="1" s="1"/>
  <c r="F9" i="1"/>
  <c r="I51" i="3" s="1"/>
  <c r="C9" i="1"/>
  <c r="C10" i="1" s="1"/>
  <c r="F10" i="1"/>
  <c r="C25" i="1"/>
  <c r="J43" i="3"/>
  <c r="J27" i="3"/>
  <c r="J50" i="3"/>
  <c r="J34" i="3"/>
  <c r="J18" i="3"/>
  <c r="J45" i="3"/>
  <c r="J29" i="3"/>
  <c r="J13" i="3"/>
  <c r="J40" i="3"/>
  <c r="J24" i="3"/>
  <c r="J8" i="3"/>
  <c r="J11" i="3"/>
  <c r="J6" i="3"/>
  <c r="J23" i="3"/>
  <c r="J14" i="3"/>
  <c r="J25" i="3"/>
  <c r="J20" i="3"/>
  <c r="J51" i="3"/>
  <c r="J35" i="3"/>
  <c r="J19" i="3"/>
  <c r="J42" i="3"/>
  <c r="J26" i="3"/>
  <c r="J53" i="3"/>
  <c r="J37" i="3"/>
  <c r="J21" i="3"/>
  <c r="J48" i="3"/>
  <c r="J32" i="3"/>
  <c r="J16" i="3"/>
  <c r="J7" i="3"/>
  <c r="J9" i="3"/>
  <c r="J46" i="3"/>
  <c r="J52" i="3"/>
  <c r="J4" i="3"/>
  <c r="J47" i="3"/>
  <c r="J31" i="3"/>
  <c r="J15" i="3"/>
  <c r="J38" i="3"/>
  <c r="J22" i="3"/>
  <c r="J49" i="3"/>
  <c r="J33" i="3"/>
  <c r="J17" i="3"/>
  <c r="J44" i="3"/>
  <c r="J28" i="3"/>
  <c r="J12" i="3"/>
  <c r="J3" i="3"/>
  <c r="J5" i="3"/>
  <c r="J39" i="3"/>
  <c r="J30" i="3"/>
  <c r="J41" i="3"/>
  <c r="J36" i="3"/>
  <c r="J10" i="3"/>
  <c r="I28" i="3" l="1"/>
  <c r="I6" i="3"/>
  <c r="I33" i="3"/>
  <c r="I11" i="3"/>
  <c r="I50" i="3"/>
  <c r="C20" i="1"/>
  <c r="C22" i="1" s="1"/>
  <c r="I38" i="3"/>
  <c r="I27" i="3"/>
  <c r="I46" i="3"/>
  <c r="I42" i="3"/>
  <c r="I52" i="3"/>
  <c r="I20" i="3"/>
  <c r="I7" i="3"/>
  <c r="I29" i="3"/>
  <c r="I32" i="3"/>
  <c r="I21" i="3"/>
  <c r="I24" i="3"/>
  <c r="I30" i="3"/>
  <c r="I23" i="3"/>
  <c r="I15" i="3"/>
  <c r="I44" i="3"/>
  <c r="I9" i="3"/>
  <c r="I45" i="3"/>
  <c r="I48" i="3"/>
  <c r="I37" i="3"/>
  <c r="I40" i="3"/>
  <c r="I19" i="3"/>
  <c r="I43" i="3"/>
  <c r="I25" i="3"/>
  <c r="I12" i="3"/>
  <c r="I18" i="3"/>
  <c r="I39" i="3"/>
  <c r="I17" i="3"/>
  <c r="I4" i="3"/>
  <c r="I53" i="3"/>
  <c r="I31" i="3"/>
  <c r="I10" i="3"/>
  <c r="I8" i="3"/>
  <c r="I35" i="3"/>
  <c r="I3" i="3"/>
  <c r="I36" i="3"/>
  <c r="I14" i="3"/>
  <c r="I13" i="3"/>
  <c r="I34" i="3"/>
  <c r="I16" i="3"/>
  <c r="I22" i="3"/>
  <c r="I5" i="3"/>
  <c r="I26" i="3"/>
  <c r="I47" i="3"/>
  <c r="I49" i="3"/>
  <c r="I41" i="3"/>
  <c r="F5" i="3" l="1"/>
  <c r="F30" i="3"/>
  <c r="F22" i="3"/>
  <c r="F32" i="3"/>
  <c r="F40" i="3"/>
  <c r="F13" i="3"/>
  <c r="F19" i="3"/>
  <c r="F41" i="3"/>
  <c r="F18" i="3"/>
  <c r="F35" i="3"/>
  <c r="F14" i="3"/>
  <c r="F31" i="3"/>
  <c r="F15" i="3"/>
  <c r="F8" i="3"/>
  <c r="F24" i="3"/>
  <c r="F42" i="3"/>
  <c r="F10" i="3"/>
  <c r="F53" i="3"/>
  <c r="F48" i="3"/>
  <c r="F36" i="3"/>
  <c r="F45" i="3"/>
  <c r="F20" i="3"/>
  <c r="F28" i="3"/>
  <c r="F6" i="3"/>
  <c r="F17" i="3"/>
  <c r="F12" i="3"/>
  <c r="F38" i="3"/>
  <c r="F25" i="3"/>
  <c r="F16" i="3"/>
  <c r="F27" i="3"/>
  <c r="F26" i="3"/>
  <c r="F33" i="3"/>
  <c r="F23" i="3"/>
  <c r="F7" i="3"/>
  <c r="F51" i="3"/>
  <c r="F46" i="3"/>
  <c r="F37" i="3"/>
  <c r="F34" i="3"/>
  <c r="F52" i="3"/>
  <c r="F50" i="3"/>
  <c r="F47" i="3"/>
  <c r="F4" i="3"/>
  <c r="F9" i="3"/>
  <c r="F11" i="3"/>
  <c r="F21" i="3"/>
  <c r="F43" i="3"/>
  <c r="F49" i="3"/>
  <c r="F29" i="3"/>
  <c r="F39" i="3"/>
  <c r="F44" i="3"/>
</calcChain>
</file>

<file path=xl/sharedStrings.xml><?xml version="1.0" encoding="utf-8"?>
<sst xmlns="http://schemas.openxmlformats.org/spreadsheetml/2006/main" count="64" uniqueCount="53">
  <si>
    <t>Ip (mA)</t>
  </si>
  <si>
    <t>kT (eV)</t>
  </si>
  <si>
    <t>Ip_1 (mA)</t>
  </si>
  <si>
    <t>Ip_2 (mA)</t>
  </si>
  <si>
    <t>V1 (V)</t>
  </si>
  <si>
    <t>V2(V)</t>
  </si>
  <si>
    <t>I0_1 (mA)</t>
  </si>
  <si>
    <t>I0_2 (mA)</t>
  </si>
  <si>
    <t>I (mA)</t>
  </si>
  <si>
    <t>n_1</t>
  </si>
  <si>
    <t>n_2</t>
  </si>
  <si>
    <t>n_1+n_2</t>
  </si>
  <si>
    <t>f</t>
  </si>
  <si>
    <t>1-f</t>
  </si>
  <si>
    <t>I_p1</t>
  </si>
  <si>
    <t>I_p2</t>
  </si>
  <si>
    <t>P1 (W)</t>
  </si>
  <si>
    <t>P2 (W)</t>
  </si>
  <si>
    <t>V (V)</t>
  </si>
  <si>
    <t>V2 (V)</t>
  </si>
  <si>
    <t>Isc (mA)</t>
  </si>
  <si>
    <t>u</t>
  </si>
  <si>
    <t>m1</t>
  </si>
  <si>
    <t>m2</t>
  </si>
  <si>
    <t>Voc (V)</t>
  </si>
  <si>
    <t>I_1</t>
  </si>
  <si>
    <t>I_2</t>
  </si>
  <si>
    <t>Ierror</t>
  </si>
  <si>
    <t>max. power point</t>
  </si>
  <si>
    <t>solve for Isc:</t>
  </si>
  <si>
    <t>Vm (V)</t>
  </si>
  <si>
    <t>Im (mA)</t>
  </si>
  <si>
    <t>cell 1:</t>
  </si>
  <si>
    <t>V1m (V)</t>
  </si>
  <si>
    <t>I1m (mA)</t>
  </si>
  <si>
    <t>P1m (mW)</t>
  </si>
  <si>
    <t>Pm (mW)</t>
  </si>
  <si>
    <t>V2m (V)</t>
  </si>
  <si>
    <t>cell 2:</t>
  </si>
  <si>
    <t>I2m (mA)</t>
  </si>
  <si>
    <t>P2m (mW)</t>
  </si>
  <si>
    <t>I1 (mA)</t>
  </si>
  <si>
    <t>V1oc (V)</t>
  </si>
  <si>
    <t>I1sc (mA)</t>
  </si>
  <si>
    <t>V2oc (V)</t>
  </si>
  <si>
    <t>I2sc (mA)</t>
  </si>
  <si>
    <t>I2 (mA)</t>
  </si>
  <si>
    <t>V1c (V)</t>
  </si>
  <si>
    <t>V2c V)</t>
  </si>
  <si>
    <t>solve state:</t>
  </si>
  <si>
    <t>I_sc (mA)</t>
  </si>
  <si>
    <t>I_p1 (mA)</t>
  </si>
  <si>
    <t>I_p2 (mA)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</si>
</sst>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000"/>
    <numFmt numFmtId="165" formatCode="0.000000"/>
    <numFmt numFmtId="166" formatCode="0.00000"/>
    <numFmt numFmtId="167" formatCode="0.0000000"/>
  </numFmts>
  <fonts count="4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rgb="FF000000"/>
      <name val="Calibri"/>
      <family val="2"/>
    </font>
    <font>
      <i/>
      <sz val="14"/>
      <color rgb="FFFF000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C4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5">
    <xf numFmtId="0" fontId="0" fillId="0" borderId="0" xfId="0"/>
    <xf numFmtId="11" fontId="0" fillId="0" borderId="0" xfId="0" applyNumberFormat="1"/>
    <xf numFmtId="164" fontId="0" fillId="0" borderId="0" xfId="0" applyNumberFormat="1"/>
    <xf numFmtId="166" fontId="0" fillId="0" borderId="0" xfId="0" applyNumberFormat="1"/>
    <xf numFmtId="167" fontId="0" fillId="0" borderId="0" xfId="0" applyNumberFormat="1"/>
    <xf numFmtId="0" fontId="0" fillId="0" borderId="1" xfId="0" applyBorder="1"/>
    <xf numFmtId="11" fontId="0" fillId="0" borderId="1" xfId="0" applyNumberFormat="1" applyBorder="1"/>
    <xf numFmtId="2" fontId="0" fillId="0" borderId="0" xfId="0" applyNumberFormat="1"/>
    <xf numFmtId="0" fontId="3" fillId="0" borderId="0" xfId="0" applyFont="1"/>
    <xf numFmtId="165" fontId="0" fillId="0" borderId="0" xfId="0" applyNumberFormat="1"/>
    <xf numFmtId="165" fontId="1" fillId="0" borderId="0" xfId="0" applyNumberFormat="1" applyFont="1"/>
    <xf numFmtId="0" fontId="0" fillId="2" borderId="0" xfId="0" applyFill="1"/>
    <xf numFmtId="0" fontId="0" fillId="3" borderId="0" xfId="0" applyFill="1"/>
    <xf numFmtId="0" fontId="0" fillId="4" borderId="0" xfId="0" applyFill="1"/>
    <xf numFmtId="11" fontId="0" fillId="5" borderId="0" xfId="0" applyNumberFormat="1" applyFill="1"/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FFFC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>tandem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calc!$F$3:$F$53</c:f>
              <c:numCache>
                <c:formatCode>0.0000</c:formatCode>
                <c:ptCount val="51"/>
                <c:pt idx="0">
                  <c:v>1.1927390784299416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0.96925042329798183</c:v>
                </c:pt>
                <c:pt idx="14">
                  <c:v>1.0137257911211361</c:v>
                </c:pt>
                <c:pt idx="15">
                  <c:v>1.03767826555509</c:v>
                </c:pt>
                <c:pt idx="16">
                  <c:v>1.0542761865766985</c:v>
                </c:pt>
                <c:pt idx="17">
                  <c:v>1.0670512571879178</c:v>
                </c:pt>
                <c:pt idx="18">
                  <c:v>1.077478107371256</c:v>
                </c:pt>
                <c:pt idx="19">
                  <c:v>1.0863148440246539</c:v>
                </c:pt>
                <c:pt idx="20">
                  <c:v>1.094003175867035</c:v>
                </c:pt>
                <c:pt idx="21">
                  <c:v>1.1008231638147499</c:v>
                </c:pt>
                <c:pt idx="22">
                  <c:v>1.1069635886161215</c:v>
                </c:pt>
                <c:pt idx="23">
                  <c:v>1.1125577595152976</c:v>
                </c:pt>
                <c:pt idx="24">
                  <c:v>1.117703321395817</c:v>
                </c:pt>
                <c:pt idx="25">
                  <c:v>1.1224739413116516</c:v>
                </c:pt>
                <c:pt idx="26">
                  <c:v>1.1269265685539844</c:v>
                </c:pt>
                <c:pt idx="27">
                  <c:v>1.1311061392509876</c:v>
                </c:pt>
                <c:pt idx="28">
                  <c:v>1.1350487342659652</c:v>
                </c:pt>
                <c:pt idx="29">
                  <c:v>1.1387837631255755</c:v>
                </c:pt>
                <c:pt idx="30">
                  <c:v>1.1423355136030418</c:v>
                </c:pt>
                <c:pt idx="31">
                  <c:v>1.1457242759718966</c:v>
                </c:pt>
                <c:pt idx="32">
                  <c:v>1.1489671747629346</c:v>
                </c:pt>
                <c:pt idx="33">
                  <c:v>1.1520787948438911</c:v>
                </c:pt>
                <c:pt idx="34">
                  <c:v>1.155071659988375</c:v>
                </c:pt>
                <c:pt idx="35">
                  <c:v>1.1579566037699698</c:v>
                </c:pt>
                <c:pt idx="36">
                  <c:v>1.1607430606052993</c:v>
                </c:pt>
                <c:pt idx="37">
                  <c:v>1.1634392967269387</c:v>
                </c:pt>
                <c:pt idx="38">
                  <c:v>1.1660525953761398</c:v>
                </c:pt>
                <c:pt idx="39">
                  <c:v>1.1685894066901563</c:v>
                </c:pt>
                <c:pt idx="40">
                  <c:v>1.171055470065216</c:v>
                </c:pt>
                <c:pt idx="41">
                  <c:v>1.1734559148461754</c:v>
                </c:pt>
                <c:pt idx="42">
                  <c:v>1.1757953437923194</c:v>
                </c:pt>
                <c:pt idx="43">
                  <c:v>1.1780779027382211</c:v>
                </c:pt>
                <c:pt idx="44">
                  <c:v>1.1803073391021206</c:v>
                </c:pt>
                <c:pt idx="45">
                  <c:v>1.1824870513180936</c:v>
                </c:pt>
                <c:pt idx="46">
                  <c:v>1.1846201308308628</c:v>
                </c:pt>
                <c:pt idx="47">
                  <c:v>1.1867093979569234</c:v>
                </c:pt>
                <c:pt idx="48">
                  <c:v>1.1887574326566031</c:v>
                </c:pt>
                <c:pt idx="49">
                  <c:v>1.1907666010598328</c:v>
                </c:pt>
                <c:pt idx="50">
                  <c:v>1.1927390784299416</c:v>
                </c:pt>
              </c:numCache>
            </c:numRef>
          </c:xVal>
          <c:yVal>
            <c:numRef>
              <c:f>calc!$C$3:$C$53</c:f>
              <c:numCache>
                <c:formatCode>0.0000</c:formatCode>
                <c:ptCount val="51"/>
                <c:pt idx="0">
                  <c:v>1.1927390784299416</c:v>
                </c:pt>
                <c:pt idx="1">
                  <c:v>1.1787163917626615</c:v>
                </c:pt>
                <c:pt idx="2">
                  <c:v>1.1644104280339267</c:v>
                </c:pt>
                <c:pt idx="3">
                  <c:v>1.1498154646674974</c:v>
                </c:pt>
                <c:pt idx="4">
                  <c:v>1.1349256634834248</c:v>
                </c:pt>
                <c:pt idx="5">
                  <c:v>1.1197350683627021</c:v>
                </c:pt>
                <c:pt idx="6">
                  <c:v>1.1042376028647367</c:v>
                </c:pt>
                <c:pt idx="7">
                  <c:v>1.0884270677966943</c:v>
                </c:pt>
                <c:pt idx="8">
                  <c:v>1.0722971387337372</c:v>
                </c:pt>
                <c:pt idx="9">
                  <c:v>1.0558413634891719</c:v>
                </c:pt>
                <c:pt idx="10">
                  <c:v>1.0390531595334871</c:v>
                </c:pt>
                <c:pt idx="11">
                  <c:v>1.0219258113612553</c:v>
                </c:pt>
                <c:pt idx="12">
                  <c:v>1.0044524678048394</c:v>
                </c:pt>
                <c:pt idx="13">
                  <c:v>0.98662613929383614</c:v>
                </c:pt>
                <c:pt idx="14">
                  <c:v>0.96843969505915339</c:v>
                </c:pt>
                <c:pt idx="15">
                  <c:v>0.94988586028060806</c:v>
                </c:pt>
                <c:pt idx="16">
                  <c:v>0.93095721317690117</c:v>
                </c:pt>
                <c:pt idx="17">
                  <c:v>0.91164618203680592</c:v>
                </c:pt>
                <c:pt idx="18">
                  <c:v>0.8919450421903824</c:v>
                </c:pt>
                <c:pt idx="19">
                  <c:v>0.87184591291900637</c:v>
                </c:pt>
                <c:pt idx="20">
                  <c:v>0.85134075430297773</c:v>
                </c:pt>
                <c:pt idx="21">
                  <c:v>0.83042136400544408</c:v>
                </c:pt>
                <c:pt idx="22">
                  <c:v>0.80907937399135743</c:v>
                </c:pt>
                <c:pt idx="23">
                  <c:v>0.78730624718014874</c:v>
                </c:pt>
                <c:pt idx="24">
                  <c:v>0.76509327403078098</c:v>
                </c:pt>
                <c:pt idx="25">
                  <c:v>0.74243156905781771</c:v>
                </c:pt>
                <c:pt idx="26">
                  <c:v>0.71931206727710972</c:v>
                </c:pt>
                <c:pt idx="27">
                  <c:v>0.69572552057968029</c:v>
                </c:pt>
                <c:pt idx="28">
                  <c:v>0.67166249403235911</c:v>
                </c:pt>
                <c:pt idx="29">
                  <c:v>0.64711336210368287</c:v>
                </c:pt>
                <c:pt idx="30">
                  <c:v>0.6220683048135538</c:v>
                </c:pt>
                <c:pt idx="31">
                  <c:v>0.59651730380511703</c:v>
                </c:pt>
                <c:pt idx="32">
                  <c:v>0.57045013833728486</c:v>
                </c:pt>
                <c:pt idx="33">
                  <c:v>0.5438563811963032</c:v>
                </c:pt>
                <c:pt idx="34">
                  <c:v>0.51672539452472777</c:v>
                </c:pt>
                <c:pt idx="35">
                  <c:v>0.48904632556613858</c:v>
                </c:pt>
                <c:pt idx="36">
                  <c:v>0.46080810232389285</c:v>
                </c:pt>
                <c:pt idx="37">
                  <c:v>0.43199942913217909</c:v>
                </c:pt>
                <c:pt idx="38">
                  <c:v>0.40260878213759982</c:v>
                </c:pt>
                <c:pt idx="39">
                  <c:v>0.37262440468947655</c:v>
                </c:pt>
                <c:pt idx="40">
                  <c:v>0.34203430263703288</c:v>
                </c:pt>
                <c:pt idx="41">
                  <c:v>0.31082623953157507</c:v>
                </c:pt>
                <c:pt idx="42">
                  <c:v>0.27898773173174773</c:v>
                </c:pt>
                <c:pt idx="43">
                  <c:v>0.24650604340991117</c:v>
                </c:pt>
                <c:pt idx="44">
                  <c:v>0.21336818145764208</c:v>
                </c:pt>
                <c:pt idx="45">
                  <c:v>0.17956089028831529</c:v>
                </c:pt>
                <c:pt idx="46">
                  <c:v>0.14507064653469368</c:v>
                </c:pt>
                <c:pt idx="47">
                  <c:v>0.10988365363939939</c:v>
                </c:pt>
                <c:pt idx="48">
                  <c:v>7.3985836336108474E-2</c:v>
                </c:pt>
                <c:pt idx="49">
                  <c:v>3.7362835019255407E-2</c:v>
                </c:pt>
                <c:pt idx="5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09A-5746-AEAC-2496E8DF0B14}"/>
            </c:ext>
          </c:extLst>
        </c:ser>
        <c:ser>
          <c:idx val="2"/>
          <c:order val="1"/>
          <c:tx>
            <c:v>cell1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calc!$G$3:$G$53</c:f>
              <c:numCache>
                <c:formatCode>0.0000</c:formatCode>
                <c:ptCount val="51"/>
                <c:pt idx="0">
                  <c:v>0</c:v>
                </c:pt>
                <c:pt idx="1">
                  <c:v>7.9652898128468735E-3</c:v>
                </c:pt>
                <c:pt idx="2">
                  <c:v>1.5930579625693747E-2</c:v>
                </c:pt>
                <c:pt idx="3">
                  <c:v>2.3895869438540621E-2</c:v>
                </c:pt>
                <c:pt idx="4">
                  <c:v>3.1861159251387494E-2</c:v>
                </c:pt>
                <c:pt idx="5">
                  <c:v>3.9826449064234375E-2</c:v>
                </c:pt>
                <c:pt idx="6">
                  <c:v>4.7791738877081241E-2</c:v>
                </c:pt>
                <c:pt idx="7">
                  <c:v>5.5757028689928122E-2</c:v>
                </c:pt>
                <c:pt idx="8">
                  <c:v>6.3722318502774988E-2</c:v>
                </c:pt>
                <c:pt idx="9">
                  <c:v>7.1687608315621862E-2</c:v>
                </c:pt>
                <c:pt idx="10">
                  <c:v>7.9652898128468749E-2</c:v>
                </c:pt>
                <c:pt idx="11">
                  <c:v>8.7618187941315609E-2</c:v>
                </c:pt>
                <c:pt idx="12">
                  <c:v>9.5583477754162482E-2</c:v>
                </c:pt>
                <c:pt idx="13">
                  <c:v>0.10354876756700937</c:v>
                </c:pt>
                <c:pt idx="14">
                  <c:v>0.11151405737985624</c:v>
                </c:pt>
                <c:pt idx="15">
                  <c:v>0.1194793471927031</c:v>
                </c:pt>
                <c:pt idx="16">
                  <c:v>0.12744463700554998</c:v>
                </c:pt>
                <c:pt idx="17">
                  <c:v>0.13540992681839686</c:v>
                </c:pt>
                <c:pt idx="18">
                  <c:v>0.14337521663124372</c:v>
                </c:pt>
                <c:pt idx="19">
                  <c:v>0.15134050644409061</c:v>
                </c:pt>
                <c:pt idx="20">
                  <c:v>0.1593057962569375</c:v>
                </c:pt>
                <c:pt idx="21">
                  <c:v>0.16727108606978436</c:v>
                </c:pt>
                <c:pt idx="22">
                  <c:v>0.17523637588263122</c:v>
                </c:pt>
                <c:pt idx="23">
                  <c:v>0.18320166569547811</c:v>
                </c:pt>
                <c:pt idx="24">
                  <c:v>0.19116695550832496</c:v>
                </c:pt>
                <c:pt idx="25">
                  <c:v>0.19913224532117185</c:v>
                </c:pt>
                <c:pt idx="26">
                  <c:v>0.20709753513401874</c:v>
                </c:pt>
                <c:pt idx="27">
                  <c:v>0.21506282494686563</c:v>
                </c:pt>
                <c:pt idx="28">
                  <c:v>0.22302811475971249</c:v>
                </c:pt>
                <c:pt idx="29">
                  <c:v>0.23099340457255935</c:v>
                </c:pt>
                <c:pt idx="30">
                  <c:v>0.23895869438540621</c:v>
                </c:pt>
                <c:pt idx="31">
                  <c:v>0.24692398419825309</c:v>
                </c:pt>
                <c:pt idx="32">
                  <c:v>0.25488927401109995</c:v>
                </c:pt>
                <c:pt idx="33">
                  <c:v>0.26285456382394684</c:v>
                </c:pt>
                <c:pt idx="34">
                  <c:v>0.27081985363679373</c:v>
                </c:pt>
                <c:pt idx="35">
                  <c:v>0.27878514344964062</c:v>
                </c:pt>
                <c:pt idx="36">
                  <c:v>0.28675043326248745</c:v>
                </c:pt>
                <c:pt idx="37">
                  <c:v>0.29471572307533433</c:v>
                </c:pt>
                <c:pt idx="38">
                  <c:v>0.30268101288818122</c:v>
                </c:pt>
                <c:pt idx="39">
                  <c:v>0.31064630270102811</c:v>
                </c:pt>
                <c:pt idx="40">
                  <c:v>0.318611592513875</c:v>
                </c:pt>
                <c:pt idx="41">
                  <c:v>0.32657688232672188</c:v>
                </c:pt>
                <c:pt idx="42">
                  <c:v>0.33454217213956872</c:v>
                </c:pt>
                <c:pt idx="43">
                  <c:v>0.3425074619524156</c:v>
                </c:pt>
                <c:pt idx="44">
                  <c:v>0.35047275176526244</c:v>
                </c:pt>
                <c:pt idx="45">
                  <c:v>0.35843804157810932</c:v>
                </c:pt>
                <c:pt idx="46">
                  <c:v>0.36640333139095621</c:v>
                </c:pt>
                <c:pt idx="47">
                  <c:v>0.3743686212038031</c:v>
                </c:pt>
                <c:pt idx="48">
                  <c:v>0.38233391101664993</c:v>
                </c:pt>
                <c:pt idx="49">
                  <c:v>0.39029920082949682</c:v>
                </c:pt>
                <c:pt idx="50">
                  <c:v>0.3982644906423437</c:v>
                </c:pt>
              </c:numCache>
            </c:numRef>
          </c:xVal>
          <c:yVal>
            <c:numRef>
              <c:f>calc!$I$3:$I$53</c:f>
              <c:numCache>
                <c:formatCode>0.0000</c:formatCode>
                <c:ptCount val="51"/>
                <c:pt idx="0">
                  <c:v>0.99999999500050007</c:v>
                </c:pt>
                <c:pt idx="1">
                  <c:v>0.99999999139974594</c:v>
                </c:pt>
                <c:pt idx="2">
                  <c:v>0.99999998650244881</c:v>
                </c:pt>
                <c:pt idx="3">
                  <c:v>0.99999997984175548</c:v>
                </c:pt>
                <c:pt idx="4">
                  <c:v>0.99999997078271019</c:v>
                </c:pt>
                <c:pt idx="5">
                  <c:v>0.9999999584617254</c:v>
                </c:pt>
                <c:pt idx="6">
                  <c:v>0.99999994170425699</c:v>
                </c:pt>
                <c:pt idx="7">
                  <c:v>0.99999991891283624</c:v>
                </c:pt>
                <c:pt idx="8">
                  <c:v>0.99999988791478545</c:v>
                </c:pt>
                <c:pt idx="9">
                  <c:v>0.99999984575509859</c:v>
                </c:pt>
                <c:pt idx="10">
                  <c:v>0.99999978841474524</c:v>
                </c:pt>
                <c:pt idx="11">
                  <c:v>0.99999971042754066</c:v>
                </c:pt>
                <c:pt idx="12">
                  <c:v>0.99999960435906132</c:v>
                </c:pt>
                <c:pt idx="13">
                  <c:v>0.99999946009793073</c:v>
                </c:pt>
                <c:pt idx="14">
                  <c:v>0.9999992638919144</c:v>
                </c:pt>
                <c:pt idx="15">
                  <c:v>0.99999899703693607</c:v>
                </c:pt>
                <c:pt idx="16">
                  <c:v>0.99999863409404177</c:v>
                </c:pt>
                <c:pt idx="17">
                  <c:v>0.99999814046433588</c:v>
                </c:pt>
                <c:pt idx="18">
                  <c:v>0.99999746909071086</c:v>
                </c:pt>
                <c:pt idx="19">
                  <c:v>0.99999655597195214</c:v>
                </c:pt>
                <c:pt idx="20">
                  <c:v>0.99999531406158138</c:v>
                </c:pt>
                <c:pt idx="21">
                  <c:v>0.99999362496982402</c:v>
                </c:pt>
                <c:pt idx="22">
                  <c:v>0.99999132767765841</c:v>
                </c:pt>
                <c:pt idx="23">
                  <c:v>0.99998820318707282</c:v>
                </c:pt>
                <c:pt idx="24">
                  <c:v>0.99998395364425663</c:v>
                </c:pt>
                <c:pt idx="25">
                  <c:v>0.99997817394556598</c:v>
                </c:pt>
                <c:pt idx="26">
                  <c:v>0.99997031311949569</c:v>
                </c:pt>
                <c:pt idx="27">
                  <c:v>0.99995962180325026</c:v>
                </c:pt>
                <c:pt idx="28">
                  <c:v>0.99994508080691735</c:v>
                </c:pt>
                <c:pt idx="29">
                  <c:v>0.99992530395535884</c:v>
                </c:pt>
                <c:pt idx="30">
                  <c:v>0.999898405945854</c:v>
                </c:pt>
                <c:pt idx="31">
                  <c:v>0.99986182262453116</c:v>
                </c:pt>
                <c:pt idx="32">
                  <c:v>0.99981206654876031</c:v>
                </c:pt>
                <c:pt idx="33">
                  <c:v>0.99974439453357411</c:v>
                </c:pt>
                <c:pt idx="34">
                  <c:v>0.99965235548973075</c:v>
                </c:pt>
                <c:pt idx="35">
                  <c:v>0.99952717544937997</c:v>
                </c:pt>
                <c:pt idx="36">
                  <c:v>0.99935692115459551</c:v>
                </c:pt>
                <c:pt idx="37">
                  <c:v>0.99912536247470252</c:v>
                </c:pt>
                <c:pt idx="38">
                  <c:v>0.99881042520805863</c:v>
                </c:pt>
                <c:pt idx="39">
                  <c:v>0.99838208677580065</c:v>
                </c:pt>
                <c:pt idx="40">
                  <c:v>0.99779951420665247</c:v>
                </c:pt>
                <c:pt idx="41">
                  <c:v>0.99700717158043795</c:v>
                </c:pt>
                <c:pt idx="42">
                  <c:v>0.99592952585771788</c:v>
                </c:pt>
                <c:pt idx="43">
                  <c:v>0.99446384640885999</c:v>
                </c:pt>
                <c:pt idx="44">
                  <c:v>0.99247041183058116</c:v>
                </c:pt>
                <c:pt idx="45">
                  <c:v>0.98975919047793515</c:v>
                </c:pt>
                <c:pt idx="46">
                  <c:v>0.98607172498338658</c:v>
                </c:pt>
                <c:pt idx="47">
                  <c:v>0.98105649383665028</c:v>
                </c:pt>
                <c:pt idx="48">
                  <c:v>0.97423540127527497</c:v>
                </c:pt>
                <c:pt idx="49">
                  <c:v>0.96495820100881691</c:v>
                </c:pt>
                <c:pt idx="50">
                  <c:v>0.95234050904678114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701-CC45-801D-E0855B4C99FC}"/>
            </c:ext>
          </c:extLst>
        </c:ser>
        <c:ser>
          <c:idx val="3"/>
          <c:order val="2"/>
          <c:tx>
            <c:v>cell2</c:v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calc!$H$3:$H$53</c:f>
              <c:numCache>
                <c:formatCode>0.0000</c:formatCode>
                <c:ptCount val="51"/>
                <c:pt idx="0">
                  <c:v>0</c:v>
                </c:pt>
                <c:pt idx="1">
                  <c:v>1.2736246125530535E-2</c:v>
                </c:pt>
                <c:pt idx="2">
                  <c:v>2.5472492251061071E-2</c:v>
                </c:pt>
                <c:pt idx="3">
                  <c:v>3.8208738376591604E-2</c:v>
                </c:pt>
                <c:pt idx="4">
                  <c:v>5.0944984502122141E-2</c:v>
                </c:pt>
                <c:pt idx="5">
                  <c:v>6.3681230627652671E-2</c:v>
                </c:pt>
                <c:pt idx="6">
                  <c:v>7.6417476753183208E-2</c:v>
                </c:pt>
                <c:pt idx="7">
                  <c:v>8.9153722878713745E-2</c:v>
                </c:pt>
                <c:pt idx="8">
                  <c:v>0.10188996900424428</c:v>
                </c:pt>
                <c:pt idx="9">
                  <c:v>0.11462621512977481</c:v>
                </c:pt>
                <c:pt idx="10">
                  <c:v>0.12736246125530534</c:v>
                </c:pt>
                <c:pt idx="11">
                  <c:v>0.14009870738083588</c:v>
                </c:pt>
                <c:pt idx="12">
                  <c:v>0.15283495350636642</c:v>
                </c:pt>
                <c:pt idx="13">
                  <c:v>0.16557119963189695</c:v>
                </c:pt>
                <c:pt idx="14">
                  <c:v>0.17830744575742749</c:v>
                </c:pt>
                <c:pt idx="15">
                  <c:v>0.19104369188295803</c:v>
                </c:pt>
                <c:pt idx="16">
                  <c:v>0.20377993800848856</c:v>
                </c:pt>
                <c:pt idx="17">
                  <c:v>0.2165161841340191</c:v>
                </c:pt>
                <c:pt idx="18">
                  <c:v>0.22925243025954961</c:v>
                </c:pt>
                <c:pt idx="19">
                  <c:v>0.24198867638508018</c:v>
                </c:pt>
                <c:pt idx="20">
                  <c:v>0.25472492251061069</c:v>
                </c:pt>
                <c:pt idx="21">
                  <c:v>0.26746116863614122</c:v>
                </c:pt>
                <c:pt idx="22">
                  <c:v>0.28019741476167176</c:v>
                </c:pt>
                <c:pt idx="23">
                  <c:v>0.2929336608872023</c:v>
                </c:pt>
                <c:pt idx="24">
                  <c:v>0.30566990701273283</c:v>
                </c:pt>
                <c:pt idx="25">
                  <c:v>0.31840615313826337</c:v>
                </c:pt>
                <c:pt idx="26">
                  <c:v>0.33114239926379391</c:v>
                </c:pt>
                <c:pt idx="27">
                  <c:v>0.34387864538932444</c:v>
                </c:pt>
                <c:pt idx="28">
                  <c:v>0.35661489151485498</c:v>
                </c:pt>
                <c:pt idx="29">
                  <c:v>0.36935113764038546</c:v>
                </c:pt>
                <c:pt idx="30">
                  <c:v>0.38208738376591606</c:v>
                </c:pt>
                <c:pt idx="31">
                  <c:v>0.39482362989144659</c:v>
                </c:pt>
                <c:pt idx="32">
                  <c:v>0.40755987601697713</c:v>
                </c:pt>
                <c:pt idx="33">
                  <c:v>0.42029612214250767</c:v>
                </c:pt>
                <c:pt idx="34">
                  <c:v>0.4330323682680382</c:v>
                </c:pt>
                <c:pt idx="35">
                  <c:v>0.44576861439356874</c:v>
                </c:pt>
                <c:pt idx="36">
                  <c:v>0.45850486051909922</c:v>
                </c:pt>
                <c:pt idx="37">
                  <c:v>0.47124110664462976</c:v>
                </c:pt>
                <c:pt idx="38">
                  <c:v>0.48397735277016035</c:v>
                </c:pt>
                <c:pt idx="39">
                  <c:v>0.49671359889569089</c:v>
                </c:pt>
                <c:pt idx="40">
                  <c:v>0.50944984502122137</c:v>
                </c:pt>
                <c:pt idx="41">
                  <c:v>0.52218609114675196</c:v>
                </c:pt>
                <c:pt idx="42">
                  <c:v>0.53492233727228244</c:v>
                </c:pt>
                <c:pt idx="43">
                  <c:v>0.54765858339781304</c:v>
                </c:pt>
                <c:pt idx="44">
                  <c:v>0.56039482952334352</c:v>
                </c:pt>
                <c:pt idx="45">
                  <c:v>0.57313107564887411</c:v>
                </c:pt>
                <c:pt idx="46">
                  <c:v>0.58586732177440459</c:v>
                </c:pt>
                <c:pt idx="47">
                  <c:v>0.59860356789993519</c:v>
                </c:pt>
                <c:pt idx="48">
                  <c:v>0.61133981402546567</c:v>
                </c:pt>
                <c:pt idx="49">
                  <c:v>0.62407606015099615</c:v>
                </c:pt>
                <c:pt idx="50">
                  <c:v>0.63681230627652674</c:v>
                </c:pt>
              </c:numCache>
            </c:numRef>
          </c:xVal>
          <c:yVal>
            <c:numRef>
              <c:f>calc!$J$3:$J$53</c:f>
              <c:numCache>
                <c:formatCode>0.0000</c:formatCode>
                <c:ptCount val="51"/>
                <c:pt idx="0">
                  <c:v>1.0000000049994999</c:v>
                </c:pt>
                <c:pt idx="1">
                  <c:v>1.0000000049988647</c:v>
                </c:pt>
                <c:pt idx="2">
                  <c:v>1.0000000049978262</c:v>
                </c:pt>
                <c:pt idx="3">
                  <c:v>1.0000000049961277</c:v>
                </c:pt>
                <c:pt idx="4">
                  <c:v>1.0000000049933508</c:v>
                </c:pt>
                <c:pt idx="5">
                  <c:v>1.0000000049888098</c:v>
                </c:pt>
                <c:pt idx="6">
                  <c:v>1.0000000049813849</c:v>
                </c:pt>
                <c:pt idx="7">
                  <c:v>1.0000000049692435</c:v>
                </c:pt>
                <c:pt idx="8">
                  <c:v>1.0000000049493902</c:v>
                </c:pt>
                <c:pt idx="9">
                  <c:v>1.0000000049169266</c:v>
                </c:pt>
                <c:pt idx="10">
                  <c:v>1.0000000048638436</c:v>
                </c:pt>
                <c:pt idx="11">
                  <c:v>1.0000000047770434</c:v>
                </c:pt>
                <c:pt idx="12">
                  <c:v>1.0000000046351105</c:v>
                </c:pt>
                <c:pt idx="13">
                  <c:v>1.0000000044030262</c:v>
                </c:pt>
                <c:pt idx="14">
                  <c:v>1.0000000040235286</c:v>
                </c:pt>
                <c:pt idx="15">
                  <c:v>1.0000000034029852</c:v>
                </c:pt>
                <c:pt idx="16">
                  <c:v>1.0000000023882916</c:v>
                </c:pt>
                <c:pt idx="17">
                  <c:v>1.0000000007290943</c:v>
                </c:pt>
                <c:pt idx="18">
                  <c:v>0.99999999801602435</c:v>
                </c:pt>
                <c:pt idx="19">
                  <c:v>0.99999999357969305</c:v>
                </c:pt>
                <c:pt idx="20">
                  <c:v>0.99999998632553577</c:v>
                </c:pt>
                <c:pt idx="21">
                  <c:v>0.99999997446375322</c:v>
                </c:pt>
                <c:pt idx="22">
                  <c:v>0.99999995506771877</c:v>
                </c:pt>
                <c:pt idx="23">
                  <c:v>0.99999992335189947</c:v>
                </c:pt>
                <c:pt idx="24">
                  <c:v>0.9999998714911339</c:v>
                </c:pt>
                <c:pt idx="25">
                  <c:v>0.9999997866899506</c:v>
                </c:pt>
                <c:pt idx="26">
                  <c:v>0.99999964802557462</c:v>
                </c:pt>
                <c:pt idx="27">
                  <c:v>0.99999942128570618</c:v>
                </c:pt>
                <c:pt idx="28">
                  <c:v>0.99999905052740867</c:v>
                </c:pt>
                <c:pt idx="29">
                  <c:v>0.99999844427445406</c:v>
                </c:pt>
                <c:pt idx="30">
                  <c:v>0.99999745294763176</c:v>
                </c:pt>
                <c:pt idx="31">
                  <c:v>0.99999583195945951</c:v>
                </c:pt>
                <c:pt idx="32">
                  <c:v>0.9999931813677525</c:v>
                </c:pt>
                <c:pt idx="33">
                  <c:v>0.99998884719893</c:v>
                </c:pt>
                <c:pt idx="34">
                  <c:v>0.99998176009481954</c:v>
                </c:pt>
                <c:pt idx="35">
                  <c:v>0.99997017147270328</c:v>
                </c:pt>
                <c:pt idx="36">
                  <c:v>0.99995122210206322</c:v>
                </c:pt>
                <c:pt idx="37">
                  <c:v>0.99992023665409102</c:v>
                </c:pt>
                <c:pt idx="38">
                  <c:v>0.99986957017000144</c:v>
                </c:pt>
                <c:pt idx="39">
                  <c:v>0.99978672184028561</c:v>
                </c:pt>
                <c:pt idx="40">
                  <c:v>0.99965125071257566</c:v>
                </c:pt>
                <c:pt idx="41">
                  <c:v>0.99942973234876631</c:v>
                </c:pt>
                <c:pt idx="42">
                  <c:v>0.99906751210055333</c:v>
                </c:pt>
                <c:pt idx="43">
                  <c:v>0.99847522031056724</c:v>
                </c:pt>
                <c:pt idx="44">
                  <c:v>0.99750672236983706</c:v>
                </c:pt>
                <c:pt idx="45">
                  <c:v>0.99592306330675839</c:v>
                </c:pt>
                <c:pt idx="46">
                  <c:v>0.99333351105001333</c:v>
                </c:pt>
                <c:pt idx="47">
                  <c:v>0.98909915212342847</c:v>
                </c:pt>
                <c:pt idx="48">
                  <c:v>0.98217525418993579</c:v>
                </c:pt>
                <c:pt idx="49">
                  <c:v>0.97085350196613707</c:v>
                </c:pt>
                <c:pt idx="50">
                  <c:v>0.95234050904678114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701-CC45-801D-E0855B4C99FC}"/>
            </c:ext>
          </c:extLst>
        </c:ser>
        <c:ser>
          <c:idx val="1"/>
          <c:order val="3"/>
          <c:tx>
            <c:v>Pmax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8"/>
            <c:spPr>
              <a:solidFill>
                <a:schemeClr val="accent2"/>
              </a:solidFill>
              <a:ln w="9525">
                <a:noFill/>
              </a:ln>
              <a:effectLst/>
            </c:spPr>
          </c:marker>
          <c:xVal>
            <c:numRef>
              <c:f>tandem!$C$20</c:f>
              <c:numCache>
                <c:formatCode>0.000000</c:formatCode>
                <c:ptCount val="1"/>
                <c:pt idx="0">
                  <c:v>1.0350767969188706</c:v>
                </c:pt>
              </c:numCache>
            </c:numRef>
          </c:xVal>
          <c:yVal>
            <c:numRef>
              <c:f>tandem!$C$21</c:f>
              <c:numCache>
                <c:formatCode>0.0000</c:formatCode>
                <c:ptCount val="1"/>
                <c:pt idx="0">
                  <c:v>0.95234050904678114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F13-CC45-993C-B415932313D5}"/>
            </c:ext>
          </c:extLst>
        </c:ser>
        <c:ser>
          <c:idx val="4"/>
          <c:order val="4"/>
          <c:tx>
            <c:v>P1max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9"/>
            <c:spPr>
              <a:solidFill>
                <a:schemeClr val="accent5"/>
              </a:solidFill>
              <a:ln w="9525">
                <a:noFill/>
              </a:ln>
              <a:effectLst/>
            </c:spPr>
          </c:marker>
          <c:xVal>
            <c:numRef>
              <c:f>tandem!$F$6</c:f>
              <c:numCache>
                <c:formatCode>0.0000</c:formatCode>
                <c:ptCount val="1"/>
                <c:pt idx="0">
                  <c:v>0.40431551534898696</c:v>
                </c:pt>
              </c:numCache>
            </c:numRef>
          </c:xVal>
          <c:yVal>
            <c:numRef>
              <c:f>tandem!$F$7</c:f>
              <c:numCache>
                <c:formatCode>0.0000</c:formatCode>
                <c:ptCount val="1"/>
                <c:pt idx="0">
                  <c:v>0.93979760652590361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1701-CC45-801D-E0855B4C99FC}"/>
            </c:ext>
          </c:extLst>
        </c:ser>
        <c:ser>
          <c:idx val="5"/>
          <c:order val="5"/>
          <c:tx>
            <c:v>P2max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9"/>
            <c:spPr>
              <a:solidFill>
                <a:schemeClr val="accent6"/>
              </a:solidFill>
              <a:ln w="9525">
                <a:noFill/>
              </a:ln>
              <a:effectLst/>
            </c:spPr>
          </c:marker>
          <c:xVal>
            <c:numRef>
              <c:f>tandem!$F$13</c:f>
              <c:numCache>
                <c:formatCode>0.0000</c:formatCode>
                <c:ptCount val="1"/>
                <c:pt idx="0">
                  <c:v>0.6318671017703319</c:v>
                </c:pt>
              </c:numCache>
            </c:numRef>
          </c:xVal>
          <c:yVal>
            <c:numRef>
              <c:f>tandem!$F$14</c:f>
              <c:numCache>
                <c:formatCode>0.0000</c:formatCode>
                <c:ptCount val="1"/>
                <c:pt idx="0">
                  <c:v>0.96062436469189949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1701-CC45-801D-E0855B4C99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08919087"/>
        <c:axId val="1308920815"/>
      </c:scatterChart>
      <c:valAx>
        <c:axId val="1308919087"/>
        <c:scaling>
          <c:orientation val="minMax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V (V)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08920815"/>
        <c:crosses val="autoZero"/>
        <c:crossBetween val="midCat"/>
      </c:valAx>
      <c:valAx>
        <c:axId val="130892081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I (mA)</a:t>
                </a:r>
              </a:p>
              <a:p>
                <a:pPr>
                  <a:defRPr/>
                </a:pP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08919087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692150</xdr:colOff>
      <xdr:row>9</xdr:row>
      <xdr:rowOff>139700</xdr:rowOff>
    </xdr:from>
    <xdr:to>
      <xdr:col>13</xdr:col>
      <xdr:colOff>25400</xdr:colOff>
      <xdr:row>24</xdr:row>
      <xdr:rowOff>25400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495300</xdr:colOff>
          <xdr:row>19</xdr:row>
          <xdr:rowOff>177800</xdr:rowOff>
        </xdr:from>
        <xdr:to>
          <xdr:col>5</xdr:col>
          <xdr:colOff>368300</xdr:colOff>
          <xdr:row>21</xdr:row>
          <xdr:rowOff>152400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Solve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374093-DF6B-F344-A215-BF7E4431A2FB}">
  <sheetPr codeName="Sheet1"/>
  <dimension ref="A2:AP111"/>
  <sheetViews>
    <sheetView zoomScaleNormal="100" workbookViewId="0">
      <selection activeCell="C25" sqref="C25"/>
    </sheetView>
  </sheetViews>
  <sheetFormatPr baseColWidth="10" defaultRowHeight="16" x14ac:dyDescent="0.2"/>
  <cols>
    <col min="3" max="3" width="16" customWidth="1"/>
    <col min="8" max="8" width="19.1640625" customWidth="1"/>
  </cols>
  <sheetData>
    <row r="2" spans="1:42" x14ac:dyDescent="0.2">
      <c r="B2" t="s">
        <v>0</v>
      </c>
      <c r="C2" s="11">
        <v>2</v>
      </c>
      <c r="I2" t="s">
        <v>0</v>
      </c>
      <c r="J2" s="5">
        <v>2</v>
      </c>
    </row>
    <row r="3" spans="1:42" x14ac:dyDescent="0.2">
      <c r="B3" t="s">
        <v>1</v>
      </c>
      <c r="C3" s="13">
        <v>2.5899999999999999E-2</v>
      </c>
      <c r="I3" t="s">
        <v>1</v>
      </c>
      <c r="J3" s="5">
        <v>2.5899999999999999E-2</v>
      </c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</row>
    <row r="4" spans="1:42" x14ac:dyDescent="0.2">
      <c r="B4" t="s">
        <v>12</v>
      </c>
      <c r="C4" s="4">
        <f>calc!M18</f>
        <v>0.50000000249974996</v>
      </c>
      <c r="I4" t="s">
        <v>9</v>
      </c>
      <c r="J4" s="5">
        <v>1</v>
      </c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F4" s="2"/>
      <c r="AG4" s="2"/>
      <c r="AH4" s="2"/>
      <c r="AI4" s="2"/>
      <c r="AJ4" s="2"/>
      <c r="AK4" s="2"/>
      <c r="AL4" s="2"/>
      <c r="AM4" s="2"/>
      <c r="AN4" s="2"/>
      <c r="AO4" s="2"/>
      <c r="AP4" s="2"/>
    </row>
    <row r="5" spans="1:42" x14ac:dyDescent="0.2">
      <c r="I5" t="s">
        <v>6</v>
      </c>
      <c r="J5" s="6">
        <v>1E-8</v>
      </c>
      <c r="U5" s="2"/>
      <c r="V5" s="2"/>
      <c r="W5" s="2"/>
      <c r="X5" s="2"/>
      <c r="Y5" s="2"/>
      <c r="Z5" s="2"/>
      <c r="AA5" s="2"/>
      <c r="AB5" s="2"/>
      <c r="AC5" s="2"/>
      <c r="AD5" s="2"/>
      <c r="AE5" s="2"/>
      <c r="AF5" s="2"/>
      <c r="AG5" s="2"/>
      <c r="AH5" s="2"/>
      <c r="AI5" s="2"/>
      <c r="AJ5" s="2"/>
      <c r="AK5" s="2"/>
      <c r="AL5" s="2"/>
      <c r="AM5" s="2"/>
      <c r="AN5" s="2"/>
      <c r="AO5" s="2"/>
      <c r="AP5" s="2"/>
    </row>
    <row r="6" spans="1:42" x14ac:dyDescent="0.2">
      <c r="A6" t="s">
        <v>32</v>
      </c>
      <c r="B6" t="s">
        <v>9</v>
      </c>
      <c r="C6" s="12">
        <v>1</v>
      </c>
      <c r="E6" t="s">
        <v>33</v>
      </c>
      <c r="F6" s="2">
        <f>C6*C3*LN((C8-F7)/C7+1)</f>
        <v>0.40431551534898696</v>
      </c>
      <c r="I6" t="s">
        <v>10</v>
      </c>
      <c r="J6" s="5">
        <v>1</v>
      </c>
      <c r="U6" s="2"/>
      <c r="V6" s="2"/>
      <c r="W6" s="2"/>
      <c r="X6" s="2"/>
      <c r="Y6" s="2"/>
      <c r="Z6" s="2"/>
      <c r="AA6" s="2"/>
      <c r="AB6" s="2"/>
      <c r="AC6" s="2"/>
      <c r="AD6" s="2"/>
      <c r="AE6" s="2"/>
      <c r="AF6" s="2"/>
      <c r="AG6" s="2"/>
      <c r="AH6" s="2"/>
      <c r="AI6" s="2"/>
      <c r="AJ6" s="2"/>
      <c r="AK6" s="2"/>
      <c r="AL6" s="2"/>
      <c r="AM6" s="2"/>
      <c r="AN6" s="2"/>
      <c r="AO6" s="2"/>
      <c r="AP6" s="2"/>
    </row>
    <row r="7" spans="1:42" x14ac:dyDescent="0.2">
      <c r="B7" t="s">
        <v>6</v>
      </c>
      <c r="C7" s="14">
        <v>1E-8</v>
      </c>
      <c r="E7" t="s">
        <v>34</v>
      </c>
      <c r="F7" s="2">
        <v>0.93979760652590361</v>
      </c>
      <c r="I7" t="s">
        <v>7</v>
      </c>
      <c r="J7" s="6">
        <v>9.9999999999999998E-13</v>
      </c>
      <c r="U7" s="2"/>
      <c r="V7" s="2"/>
      <c r="W7" s="2"/>
      <c r="X7" s="2"/>
      <c r="Y7" s="2"/>
      <c r="Z7" s="2"/>
      <c r="AA7" s="2"/>
      <c r="AB7" s="2"/>
      <c r="AC7" s="2"/>
      <c r="AD7" s="2"/>
      <c r="AE7" s="2"/>
      <c r="AF7" s="2"/>
      <c r="AG7" s="2"/>
      <c r="AH7" s="2"/>
      <c r="AI7" s="2"/>
      <c r="AJ7" s="2"/>
      <c r="AK7" s="2"/>
      <c r="AL7" s="2"/>
      <c r="AM7" s="2"/>
      <c r="AN7" s="2"/>
      <c r="AO7" s="2"/>
      <c r="AP7" s="2"/>
    </row>
    <row r="8" spans="1:42" x14ac:dyDescent="0.2">
      <c r="B8" t="s">
        <v>2</v>
      </c>
      <c r="C8">
        <f>(1-C4)*C2</f>
        <v>0.99999999500050007</v>
      </c>
      <c r="E8" t="s">
        <v>35</v>
      </c>
      <c r="F8" s="2">
        <f>F6*F7</f>
        <v>0.3799747536062652</v>
      </c>
      <c r="U8" s="2"/>
      <c r="V8" s="2"/>
      <c r="W8" s="2"/>
      <c r="X8" s="2"/>
      <c r="Y8" s="2"/>
      <c r="Z8" s="2"/>
      <c r="AA8" s="2"/>
      <c r="AB8" s="2"/>
      <c r="AC8" s="2"/>
      <c r="AD8" s="2"/>
      <c r="AE8" s="2"/>
      <c r="AF8" s="2"/>
      <c r="AG8" s="2"/>
      <c r="AH8" s="2"/>
      <c r="AI8" s="2"/>
      <c r="AJ8" s="2"/>
      <c r="AK8" s="2"/>
      <c r="AL8" s="2"/>
      <c r="AM8" s="2"/>
      <c r="AN8" s="2"/>
      <c r="AO8" s="2"/>
      <c r="AP8" s="2"/>
    </row>
    <row r="9" spans="1:42" x14ac:dyDescent="0.2">
      <c r="B9" t="s">
        <v>4</v>
      </c>
      <c r="C9" s="9">
        <f>C6*C3*LN((C8-C21)/C7+1)</f>
        <v>0.3982644906423437</v>
      </c>
      <c r="E9" t="s">
        <v>42</v>
      </c>
      <c r="F9" s="2">
        <f>C6*C3*LN((C8-0)/C7+1)</f>
        <v>0.47709563139787919</v>
      </c>
      <c r="U9" s="2"/>
      <c r="V9" s="2"/>
      <c r="W9" s="2"/>
      <c r="X9" s="2"/>
      <c r="Y9" s="2"/>
      <c r="Z9" s="2"/>
      <c r="AA9" s="2"/>
      <c r="AB9" s="2"/>
      <c r="AC9" s="2"/>
      <c r="AD9" s="2"/>
      <c r="AE9" s="2"/>
      <c r="AF9" s="2"/>
      <c r="AG9" s="2"/>
      <c r="AH9" s="2"/>
      <c r="AI9" s="2"/>
      <c r="AJ9" s="2"/>
      <c r="AK9" s="2"/>
      <c r="AL9" s="2"/>
      <c r="AM9" s="2"/>
      <c r="AN9" s="2"/>
      <c r="AO9" s="2"/>
      <c r="AP9" s="2"/>
    </row>
    <row r="10" spans="1:42" x14ac:dyDescent="0.2">
      <c r="B10" t="s">
        <v>16</v>
      </c>
      <c r="C10" s="2">
        <f>C9*C21</f>
        <v>0.3792834077535866</v>
      </c>
      <c r="E10" t="s">
        <v>43</v>
      </c>
      <c r="F10" s="2">
        <f>C8</f>
        <v>0.99999999500050007</v>
      </c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  <c r="AF10" s="2"/>
      <c r="AG10" s="2"/>
      <c r="AH10" s="2"/>
      <c r="AI10" s="2"/>
      <c r="AJ10" s="2"/>
      <c r="AK10" s="2"/>
      <c r="AL10" s="2"/>
      <c r="AM10" s="2"/>
      <c r="AN10" s="2"/>
      <c r="AO10" s="2"/>
      <c r="AP10" s="2"/>
    </row>
    <row r="11" spans="1:42" x14ac:dyDescent="0.2">
      <c r="C11" s="1"/>
      <c r="U11" s="2"/>
      <c r="V11" s="2"/>
      <c r="W11" s="2"/>
      <c r="X11" s="2"/>
      <c r="Y11" s="2"/>
      <c r="Z11" s="2"/>
      <c r="AA11" s="2"/>
      <c r="AB11" s="2"/>
      <c r="AC11" s="2"/>
      <c r="AD11" s="2"/>
      <c r="AE11" s="2"/>
      <c r="AF11" s="2"/>
      <c r="AG11" s="2"/>
      <c r="AH11" s="2"/>
      <c r="AI11" s="2"/>
      <c r="AJ11" s="2"/>
      <c r="AK11" s="2"/>
      <c r="AL11" s="2"/>
      <c r="AM11" s="2"/>
      <c r="AN11" s="2"/>
      <c r="AO11" s="2"/>
      <c r="AP11" s="2"/>
    </row>
    <row r="12" spans="1:42" x14ac:dyDescent="0.2">
      <c r="C12" s="1"/>
      <c r="U12" s="2"/>
      <c r="V12" s="2"/>
      <c r="W12" s="2"/>
      <c r="X12" s="2"/>
      <c r="Y12" s="2"/>
      <c r="Z12" s="2"/>
      <c r="AA12" s="2"/>
      <c r="AB12" s="2"/>
      <c r="AC12" s="2"/>
      <c r="AD12" s="2"/>
      <c r="AE12" s="2"/>
      <c r="AF12" s="2"/>
      <c r="AG12" s="2"/>
      <c r="AH12" s="2"/>
      <c r="AI12" s="2"/>
      <c r="AJ12" s="2"/>
      <c r="AK12" s="2"/>
      <c r="AL12" s="2"/>
      <c r="AM12" s="2"/>
      <c r="AN12" s="2"/>
      <c r="AO12" s="2"/>
      <c r="AP12" s="2"/>
    </row>
    <row r="13" spans="1:42" x14ac:dyDescent="0.2">
      <c r="A13" t="s">
        <v>38</v>
      </c>
      <c r="B13" t="s">
        <v>10</v>
      </c>
      <c r="C13" s="12">
        <v>1</v>
      </c>
      <c r="E13" t="s">
        <v>37</v>
      </c>
      <c r="F13" s="2">
        <f>C13*C3*LN((C15-F14)/C14+1)</f>
        <v>0.6318671017703319</v>
      </c>
      <c r="U13" s="2"/>
      <c r="V13" s="2"/>
      <c r="W13" s="2"/>
      <c r="X13" s="2"/>
      <c r="Y13" s="2"/>
      <c r="Z13" s="2"/>
      <c r="AA13" s="2"/>
      <c r="AB13" s="2"/>
      <c r="AC13" s="2"/>
      <c r="AD13" s="2"/>
      <c r="AE13" s="2"/>
      <c r="AF13" s="2"/>
      <c r="AG13" s="2"/>
      <c r="AH13" s="2"/>
      <c r="AI13" s="2"/>
      <c r="AJ13" s="2"/>
      <c r="AK13" s="2"/>
      <c r="AL13" s="2"/>
      <c r="AM13" s="2"/>
      <c r="AN13" s="2"/>
      <c r="AO13" s="2"/>
      <c r="AP13" s="2"/>
    </row>
    <row r="14" spans="1:42" x14ac:dyDescent="0.2">
      <c r="B14" t="s">
        <v>7</v>
      </c>
      <c r="C14" s="14">
        <v>9.9999999999999998E-13</v>
      </c>
      <c r="E14" t="s">
        <v>39</v>
      </c>
      <c r="F14" s="2">
        <v>0.96062436469189949</v>
      </c>
      <c r="U14" s="2"/>
      <c r="V14" s="2"/>
      <c r="W14" s="2"/>
      <c r="X14" s="2"/>
      <c r="Y14" s="2"/>
      <c r="Z14" s="2"/>
      <c r="AA14" s="2"/>
      <c r="AB14" s="2"/>
      <c r="AC14" s="2"/>
      <c r="AD14" s="2"/>
      <c r="AE14" s="2"/>
      <c r="AF14" s="2"/>
      <c r="AG14" s="2"/>
      <c r="AH14" s="2"/>
      <c r="AI14" s="2"/>
      <c r="AJ14" s="2"/>
      <c r="AK14" s="2"/>
      <c r="AL14" s="2"/>
      <c r="AM14" s="2"/>
      <c r="AN14" s="2"/>
      <c r="AO14" s="2"/>
      <c r="AP14" s="2"/>
    </row>
    <row r="15" spans="1:42" x14ac:dyDescent="0.2">
      <c r="B15" t="s">
        <v>3</v>
      </c>
      <c r="C15">
        <f>C4*C2</f>
        <v>1.0000000049994999</v>
      </c>
      <c r="E15" t="s">
        <v>40</v>
      </c>
      <c r="F15" s="2">
        <f>F13*F14</f>
        <v>0.60698693320783692</v>
      </c>
      <c r="U15" s="2"/>
      <c r="V15" s="2"/>
      <c r="W15" s="2"/>
      <c r="X15" s="2"/>
      <c r="Y15" s="2"/>
      <c r="Z15" s="2"/>
      <c r="AA15" s="2"/>
      <c r="AB15" s="2"/>
      <c r="AC15" s="2"/>
      <c r="AD15" s="2"/>
      <c r="AE15" s="2"/>
      <c r="AF15" s="2"/>
      <c r="AG15" s="2"/>
      <c r="AH15" s="2"/>
      <c r="AI15" s="2"/>
      <c r="AJ15" s="2"/>
      <c r="AK15" s="2"/>
      <c r="AL15" s="2"/>
      <c r="AM15" s="2"/>
      <c r="AN15" s="2"/>
      <c r="AO15" s="2"/>
      <c r="AP15" s="2"/>
    </row>
    <row r="16" spans="1:42" x14ac:dyDescent="0.2">
      <c r="B16" t="s">
        <v>5</v>
      </c>
      <c r="C16" s="9">
        <f>C13*C3*LN((C15-C21)/C14+1)</f>
        <v>0.63681230627652674</v>
      </c>
      <c r="E16" t="s">
        <v>44</v>
      </c>
      <c r="F16" s="2">
        <f>C13*C3*LN((C15-0)/C14+1)</f>
        <v>0.7156434470320624</v>
      </c>
      <c r="U16" s="2"/>
      <c r="V16" s="2"/>
      <c r="W16" s="2"/>
      <c r="X16" s="2"/>
      <c r="Y16" s="2"/>
      <c r="Z16" s="2"/>
      <c r="AA16" s="2"/>
      <c r="AB16" s="2"/>
      <c r="AC16" s="2"/>
      <c r="AD16" s="2"/>
      <c r="AE16" s="2"/>
      <c r="AF16" s="2"/>
      <c r="AG16" s="2"/>
      <c r="AH16" s="2"/>
      <c r="AI16" s="2"/>
      <c r="AJ16" s="2"/>
      <c r="AK16" s="2"/>
      <c r="AL16" s="2"/>
      <c r="AM16" s="2"/>
      <c r="AN16" s="2"/>
      <c r="AO16" s="2"/>
      <c r="AP16" s="2"/>
    </row>
    <row r="17" spans="2:42" x14ac:dyDescent="0.2">
      <c r="B17" t="s">
        <v>17</v>
      </c>
      <c r="C17">
        <f>C16*C21</f>
        <v>0.60646215592664221</v>
      </c>
      <c r="E17" t="s">
        <v>45</v>
      </c>
      <c r="F17" s="2">
        <f>C15</f>
        <v>1.0000000049994999</v>
      </c>
    </row>
    <row r="18" spans="2:42" x14ac:dyDescent="0.2">
      <c r="U18" s="2"/>
      <c r="V18" s="2"/>
      <c r="W18" s="2"/>
      <c r="X18" s="2"/>
      <c r="Y18" s="2"/>
      <c r="Z18" s="2"/>
      <c r="AA18" s="2"/>
      <c r="AB18" s="2"/>
      <c r="AC18" s="2"/>
      <c r="AD18" s="2"/>
      <c r="AE18" s="2"/>
      <c r="AF18" s="2"/>
      <c r="AG18" s="2"/>
      <c r="AH18" s="2"/>
      <c r="AI18" s="2"/>
      <c r="AJ18" s="2"/>
      <c r="AK18" s="2"/>
      <c r="AL18" s="2"/>
      <c r="AM18" s="2"/>
      <c r="AN18" s="2"/>
      <c r="AO18" s="2"/>
      <c r="AP18" s="2"/>
    </row>
    <row r="19" spans="2:42" x14ac:dyDescent="0.2">
      <c r="B19" t="s">
        <v>28</v>
      </c>
      <c r="U19" s="2"/>
      <c r="V19" s="2"/>
      <c r="W19" s="2"/>
      <c r="X19" s="2"/>
      <c r="Y19" s="2"/>
      <c r="Z19" s="2"/>
      <c r="AA19" s="2"/>
      <c r="AB19" s="2"/>
      <c r="AC19" s="2"/>
      <c r="AD19" s="2"/>
      <c r="AE19" s="2"/>
      <c r="AF19" s="2"/>
      <c r="AG19" s="2"/>
      <c r="AH19" s="2"/>
      <c r="AI19" s="2"/>
      <c r="AJ19" s="2"/>
      <c r="AK19" s="2"/>
      <c r="AL19" s="2"/>
      <c r="AM19" s="2"/>
      <c r="AN19" s="2"/>
      <c r="AO19" s="2"/>
      <c r="AP19" s="2"/>
    </row>
    <row r="20" spans="2:42" x14ac:dyDescent="0.2">
      <c r="B20" t="s">
        <v>30</v>
      </c>
      <c r="C20" s="9">
        <f>C9+C16</f>
        <v>1.0350767969188706</v>
      </c>
      <c r="U20" s="2"/>
      <c r="V20" s="2"/>
      <c r="W20" s="2"/>
      <c r="X20" s="2"/>
      <c r="Y20" s="2"/>
      <c r="Z20" s="2"/>
      <c r="AA20" s="2"/>
      <c r="AB20" s="2"/>
      <c r="AC20" s="2"/>
      <c r="AD20" s="2"/>
      <c r="AE20" s="2"/>
      <c r="AF20" s="2"/>
      <c r="AG20" s="2"/>
      <c r="AH20" s="2"/>
      <c r="AI20" s="2"/>
      <c r="AJ20" s="2"/>
      <c r="AK20" s="2"/>
      <c r="AL20" s="2"/>
      <c r="AM20" s="2"/>
      <c r="AN20" s="2"/>
      <c r="AO20" s="2"/>
      <c r="AP20" s="2"/>
    </row>
    <row r="21" spans="2:42" x14ac:dyDescent="0.2">
      <c r="B21" t="s">
        <v>31</v>
      </c>
      <c r="C21" s="2">
        <v>0.95234050904678114</v>
      </c>
      <c r="U21" s="2"/>
      <c r="V21" s="2"/>
      <c r="W21" s="2"/>
      <c r="X21" s="2"/>
      <c r="Y21" s="2"/>
      <c r="Z21" s="2"/>
      <c r="AA21" s="2"/>
      <c r="AB21" s="2"/>
      <c r="AC21" s="2"/>
      <c r="AD21" s="2"/>
      <c r="AE21" s="2"/>
      <c r="AF21" s="2"/>
      <c r="AG21" s="2"/>
      <c r="AH21" s="2"/>
      <c r="AI21" s="2"/>
      <c r="AJ21" s="2"/>
      <c r="AK21" s="2"/>
      <c r="AL21" s="2"/>
      <c r="AM21" s="2"/>
      <c r="AN21" s="2"/>
      <c r="AO21" s="2"/>
      <c r="AP21" s="2"/>
    </row>
    <row r="22" spans="2:42" x14ac:dyDescent="0.2">
      <c r="B22" t="s">
        <v>36</v>
      </c>
      <c r="C22" s="10">
        <f>C21*C20</f>
        <v>0.98574556368022892</v>
      </c>
      <c r="U22" s="2"/>
      <c r="V22" s="2"/>
      <c r="W22" s="2"/>
      <c r="X22" s="2"/>
      <c r="Y22" s="2"/>
      <c r="Z22" s="2"/>
      <c r="AA22" s="2"/>
      <c r="AB22" s="2"/>
      <c r="AC22" s="2"/>
      <c r="AD22" s="2"/>
      <c r="AE22" s="2"/>
      <c r="AF22" s="2"/>
      <c r="AG22" s="2"/>
      <c r="AH22" s="2"/>
      <c r="AI22" s="2"/>
      <c r="AJ22" s="2"/>
      <c r="AK22" s="2"/>
      <c r="AL22" s="2"/>
      <c r="AM22" s="2"/>
      <c r="AN22" s="2"/>
      <c r="AO22" s="2"/>
      <c r="AP22" s="2"/>
    </row>
    <row r="23" spans="2:42" x14ac:dyDescent="0.2">
      <c r="U23" s="2"/>
      <c r="V23" s="2"/>
      <c r="W23" s="2"/>
      <c r="X23" s="2"/>
      <c r="Y23" s="2"/>
      <c r="Z23" s="2"/>
      <c r="AA23" s="2"/>
      <c r="AB23" s="2"/>
      <c r="AC23" s="2"/>
      <c r="AD23" s="2"/>
      <c r="AE23" s="2"/>
      <c r="AF23" s="2"/>
      <c r="AG23" s="2"/>
      <c r="AH23" s="2"/>
      <c r="AI23" s="2"/>
      <c r="AJ23" s="2"/>
      <c r="AK23" s="2"/>
      <c r="AL23" s="2"/>
      <c r="AM23" s="2"/>
      <c r="AN23" s="2"/>
      <c r="AO23" s="2"/>
      <c r="AP23" s="2"/>
    </row>
    <row r="24" spans="2:42" ht="19" x14ac:dyDescent="0.25">
      <c r="B24" t="s">
        <v>24</v>
      </c>
      <c r="C24" s="2">
        <f>C6*C3*LN((C8-0)/C7+1)+C13*C3*LN((C15-0)/C14+1)</f>
        <v>1.1927390784299416</v>
      </c>
      <c r="E24" s="8"/>
      <c r="U24" s="2"/>
      <c r="V24" s="2"/>
      <c r="W24" s="2"/>
      <c r="X24" s="2"/>
      <c r="Y24" s="2"/>
      <c r="Z24" s="2"/>
      <c r="AA24" s="2"/>
      <c r="AB24" s="2"/>
      <c r="AC24" s="2"/>
      <c r="AD24" s="2"/>
      <c r="AE24" s="2"/>
      <c r="AF24" s="2"/>
      <c r="AG24" s="2"/>
      <c r="AH24" s="2"/>
      <c r="AI24" s="2"/>
      <c r="AJ24" s="2"/>
      <c r="AK24" s="2"/>
      <c r="AL24" s="2"/>
      <c r="AM24" s="2"/>
      <c r="AN24" s="2"/>
      <c r="AO24" s="2"/>
      <c r="AP24" s="2"/>
    </row>
    <row r="25" spans="2:42" x14ac:dyDescent="0.2">
      <c r="B25" t="s">
        <v>20</v>
      </c>
      <c r="C25" s="2">
        <f>calc!M21</f>
        <v>0.99999918269779531</v>
      </c>
      <c r="U25" s="2"/>
      <c r="V25" s="2"/>
      <c r="W25" s="2"/>
      <c r="X25" s="2"/>
      <c r="Y25" s="2"/>
      <c r="Z25" s="2"/>
      <c r="AA25" s="2"/>
      <c r="AB25" s="2"/>
      <c r="AC25" s="2"/>
      <c r="AD25" s="2"/>
      <c r="AE25" s="2"/>
      <c r="AF25" s="2"/>
      <c r="AG25" s="2"/>
      <c r="AH25" s="2"/>
      <c r="AI25" s="2"/>
      <c r="AJ25" s="2"/>
      <c r="AK25" s="2"/>
      <c r="AL25" s="2"/>
      <c r="AM25" s="2"/>
      <c r="AN25" s="2"/>
      <c r="AO25" s="2"/>
      <c r="AP25" s="2"/>
    </row>
    <row r="26" spans="2:42" x14ac:dyDescent="0.2">
      <c r="B26" s="1"/>
      <c r="U26" s="2"/>
      <c r="V26" s="2"/>
      <c r="W26" s="2"/>
      <c r="X26" s="2"/>
      <c r="Y26" s="2"/>
      <c r="Z26" s="2"/>
      <c r="AA26" s="2"/>
      <c r="AB26" s="2"/>
      <c r="AC26" s="2"/>
      <c r="AD26" s="2"/>
      <c r="AE26" s="2"/>
      <c r="AF26" s="2"/>
      <c r="AG26" s="2"/>
      <c r="AH26" s="2"/>
      <c r="AI26" s="2"/>
      <c r="AJ26" s="2"/>
      <c r="AK26" s="2"/>
      <c r="AL26" s="2"/>
      <c r="AM26" s="2"/>
      <c r="AN26" s="2"/>
      <c r="AO26" s="2"/>
      <c r="AP26" s="2"/>
    </row>
    <row r="27" spans="2:42" x14ac:dyDescent="0.2">
      <c r="U27" s="2"/>
      <c r="V27" s="2"/>
      <c r="W27" s="2"/>
      <c r="X27" s="2"/>
      <c r="Y27" s="2"/>
      <c r="Z27" s="2"/>
      <c r="AA27" s="2"/>
      <c r="AB27" s="2"/>
      <c r="AC27" s="2"/>
      <c r="AD27" s="2"/>
      <c r="AE27" s="2"/>
      <c r="AF27" s="2"/>
      <c r="AG27" s="2"/>
      <c r="AH27" s="2"/>
      <c r="AI27" s="2"/>
      <c r="AJ27" s="2"/>
      <c r="AK27" s="2"/>
      <c r="AL27" s="2"/>
      <c r="AM27" s="2"/>
      <c r="AN27" s="2"/>
      <c r="AO27" s="2"/>
      <c r="AP27" s="2"/>
    </row>
    <row r="28" spans="2:42" x14ac:dyDescent="0.2">
      <c r="U28" s="2"/>
      <c r="V28" s="2"/>
      <c r="W28" s="2"/>
      <c r="X28" s="2"/>
      <c r="Y28" s="2"/>
      <c r="Z28" s="2"/>
      <c r="AA28" s="2"/>
      <c r="AB28" s="2"/>
      <c r="AC28" s="2"/>
      <c r="AD28" s="2"/>
      <c r="AE28" s="2"/>
      <c r="AF28" s="2"/>
      <c r="AG28" s="2"/>
      <c r="AH28" s="2"/>
      <c r="AI28" s="2"/>
      <c r="AJ28" s="2"/>
      <c r="AK28" s="2"/>
      <c r="AL28" s="2"/>
      <c r="AM28" s="2"/>
      <c r="AN28" s="2"/>
      <c r="AO28" s="2"/>
      <c r="AP28" s="2"/>
    </row>
    <row r="29" spans="2:42" x14ac:dyDescent="0.2">
      <c r="C29" t="s">
        <v>29</v>
      </c>
      <c r="D29" t="s">
        <v>21</v>
      </c>
      <c r="E29" s="2">
        <v>4.4095234882366645</v>
      </c>
      <c r="U29" s="2"/>
      <c r="V29" s="2"/>
      <c r="W29" s="2"/>
      <c r="X29" s="2"/>
      <c r="Y29" s="2"/>
      <c r="Z29" s="2"/>
      <c r="AA29" s="2"/>
      <c r="AB29" s="2"/>
      <c r="AC29" s="2"/>
      <c r="AD29" s="2"/>
      <c r="AE29" s="2"/>
      <c r="AF29" s="2"/>
      <c r="AG29" s="2"/>
      <c r="AH29" s="2"/>
      <c r="AI29" s="2"/>
      <c r="AJ29" s="2"/>
      <c r="AK29" s="2"/>
      <c r="AL29" s="2"/>
      <c r="AM29" s="2"/>
      <c r="AN29" s="2"/>
      <c r="AO29" s="2"/>
      <c r="AP29" s="2"/>
    </row>
    <row r="30" spans="2:42" x14ac:dyDescent="0.2">
      <c r="D30" t="s">
        <v>27</v>
      </c>
      <c r="E30" s="7">
        <f>calc!M21-calc!M22</f>
        <v>-8.2230269249361498E-7</v>
      </c>
      <c r="U30" s="2"/>
      <c r="V30" s="2"/>
      <c r="W30" s="2"/>
      <c r="X30" s="2"/>
      <c r="Y30" s="2"/>
      <c r="Z30" s="2"/>
      <c r="AA30" s="2"/>
      <c r="AB30" s="2"/>
      <c r="AC30" s="2"/>
      <c r="AD30" s="2"/>
      <c r="AE30" s="2"/>
      <c r="AF30" s="2"/>
      <c r="AG30" s="2"/>
      <c r="AH30" s="2"/>
      <c r="AI30" s="2"/>
      <c r="AJ30" s="2"/>
      <c r="AK30" s="2"/>
      <c r="AL30" s="2"/>
      <c r="AM30" s="2"/>
      <c r="AN30" s="2"/>
      <c r="AO30" s="2"/>
      <c r="AP30" s="2"/>
    </row>
    <row r="31" spans="2:42" x14ac:dyDescent="0.2">
      <c r="U31" s="2"/>
      <c r="V31" s="2"/>
      <c r="W31" s="2"/>
      <c r="X31" s="2"/>
      <c r="Y31" s="2"/>
      <c r="Z31" s="2"/>
      <c r="AA31" s="2"/>
      <c r="AB31" s="2"/>
      <c r="AC31" s="2"/>
      <c r="AD31" s="2"/>
      <c r="AE31" s="2"/>
      <c r="AF31" s="2"/>
      <c r="AG31" s="2"/>
      <c r="AH31" s="2"/>
      <c r="AI31" s="2"/>
      <c r="AJ31" s="2"/>
      <c r="AK31" s="2"/>
      <c r="AL31" s="2"/>
      <c r="AM31" s="2"/>
      <c r="AN31" s="2"/>
      <c r="AO31" s="2"/>
      <c r="AP31" s="2"/>
    </row>
    <row r="32" spans="2:42" x14ac:dyDescent="0.2">
      <c r="U32" s="2"/>
      <c r="V32" s="2"/>
      <c r="W32" s="2"/>
      <c r="X32" s="2"/>
      <c r="Y32" s="2"/>
      <c r="Z32" s="2"/>
      <c r="AA32" s="2"/>
      <c r="AB32" s="2"/>
      <c r="AC32" s="2"/>
      <c r="AD32" s="2"/>
      <c r="AE32" s="2"/>
      <c r="AF32" s="2"/>
      <c r="AG32" s="2"/>
      <c r="AH32" s="2"/>
      <c r="AI32" s="2"/>
      <c r="AJ32" s="2"/>
      <c r="AK32" s="2"/>
      <c r="AL32" s="2"/>
      <c r="AM32" s="2"/>
      <c r="AN32" s="2"/>
      <c r="AO32" s="2"/>
      <c r="AP32" s="2"/>
    </row>
    <row r="33" spans="3:39" x14ac:dyDescent="0.2">
      <c r="C33" t="s">
        <v>49</v>
      </c>
      <c r="D33">
        <v>0</v>
      </c>
      <c r="U33" s="2"/>
      <c r="V33" s="2"/>
      <c r="W33" s="2"/>
      <c r="X33" s="2"/>
      <c r="Y33" s="2"/>
      <c r="Z33" s="2"/>
      <c r="AA33" s="2"/>
      <c r="AB33" s="2"/>
      <c r="AC33" s="2"/>
      <c r="AD33" s="2"/>
      <c r="AE33" s="2"/>
      <c r="AF33" s="2"/>
      <c r="AG33" s="2"/>
      <c r="AH33" s="2"/>
      <c r="AI33" s="2"/>
      <c r="AJ33" s="2"/>
      <c r="AK33" s="2"/>
      <c r="AL33" s="2"/>
      <c r="AM33" s="2"/>
    </row>
    <row r="34" spans="3:39" x14ac:dyDescent="0.2">
      <c r="U34" s="2"/>
      <c r="V34" s="2"/>
      <c r="W34" s="2"/>
      <c r="X34" s="2"/>
      <c r="Y34" s="2"/>
      <c r="Z34" s="2"/>
      <c r="AA34" s="2"/>
      <c r="AB34" s="2"/>
      <c r="AC34" s="2"/>
      <c r="AD34" s="2"/>
      <c r="AE34" s="2"/>
      <c r="AF34" s="2"/>
      <c r="AG34" s="2"/>
      <c r="AH34" s="2"/>
      <c r="AI34" s="2"/>
      <c r="AJ34" s="2"/>
      <c r="AK34" s="2"/>
      <c r="AL34" s="2"/>
      <c r="AM34" s="2"/>
    </row>
    <row r="35" spans="3:39" x14ac:dyDescent="0.2">
      <c r="H35" s="2"/>
      <c r="U35" s="2"/>
      <c r="V35" s="2"/>
      <c r="W35" s="2"/>
      <c r="X35" s="2"/>
      <c r="Y35" s="2"/>
      <c r="Z35" s="2"/>
      <c r="AA35" s="2"/>
      <c r="AB35" s="2"/>
      <c r="AC35" s="2"/>
      <c r="AD35" s="2"/>
      <c r="AE35" s="2"/>
      <c r="AF35" s="2"/>
      <c r="AG35" s="2"/>
      <c r="AH35" s="2"/>
      <c r="AI35" s="2"/>
      <c r="AJ35" s="2"/>
      <c r="AK35" s="2"/>
      <c r="AL35" s="2"/>
      <c r="AM35" s="2"/>
    </row>
    <row r="36" spans="3:39" x14ac:dyDescent="0.2">
      <c r="H36" s="2"/>
      <c r="U36" s="2"/>
      <c r="V36" s="2"/>
      <c r="W36" s="2"/>
      <c r="X36" s="2"/>
      <c r="Y36" s="2"/>
      <c r="Z36" s="2"/>
      <c r="AA36" s="2"/>
      <c r="AB36" s="2"/>
      <c r="AC36" s="2"/>
      <c r="AD36" s="2"/>
      <c r="AE36" s="2"/>
      <c r="AF36" s="2"/>
      <c r="AG36" s="2"/>
      <c r="AH36" s="2"/>
      <c r="AI36" s="2"/>
      <c r="AJ36" s="2"/>
      <c r="AK36" s="2"/>
      <c r="AL36" s="2"/>
      <c r="AM36" s="2"/>
    </row>
    <row r="37" spans="3:39" x14ac:dyDescent="0.2">
      <c r="H37" s="2"/>
      <c r="U37" s="2"/>
      <c r="V37" s="2"/>
      <c r="W37" s="2"/>
      <c r="X37" s="2"/>
      <c r="Y37" s="2"/>
      <c r="Z37" s="2"/>
      <c r="AA37" s="2"/>
      <c r="AB37" s="2"/>
      <c r="AC37" s="2"/>
      <c r="AD37" s="2"/>
      <c r="AE37" s="2"/>
      <c r="AF37" s="2"/>
      <c r="AG37" s="2"/>
      <c r="AH37" s="2"/>
      <c r="AI37" s="2"/>
      <c r="AJ37" s="2"/>
      <c r="AK37" s="2"/>
      <c r="AL37" s="2"/>
      <c r="AM37" s="2"/>
    </row>
    <row r="38" spans="3:39" x14ac:dyDescent="0.2">
      <c r="U38" s="2"/>
      <c r="V38" s="2"/>
      <c r="W38" s="2"/>
      <c r="X38" s="2"/>
      <c r="Y38" s="2"/>
      <c r="Z38" s="2"/>
      <c r="AA38" s="2"/>
      <c r="AB38" s="2"/>
      <c r="AC38" s="2"/>
      <c r="AD38" s="2"/>
      <c r="AE38" s="2"/>
      <c r="AF38" s="2"/>
      <c r="AG38" s="2"/>
      <c r="AH38" s="2"/>
      <c r="AI38" s="2"/>
      <c r="AJ38" s="2"/>
      <c r="AK38" s="2"/>
      <c r="AL38" s="2"/>
      <c r="AM38" s="2"/>
    </row>
    <row r="39" spans="3:39" x14ac:dyDescent="0.2">
      <c r="U39" s="2"/>
      <c r="V39" s="2"/>
      <c r="W39" s="2"/>
      <c r="X39" s="2"/>
      <c r="Y39" s="2"/>
      <c r="Z39" s="2"/>
      <c r="AA39" s="2"/>
      <c r="AB39" s="2"/>
      <c r="AC39" s="2"/>
      <c r="AD39" s="2"/>
      <c r="AE39" s="2"/>
      <c r="AF39" s="2"/>
      <c r="AG39" s="2"/>
      <c r="AH39" s="2"/>
      <c r="AI39" s="2"/>
      <c r="AJ39" s="2"/>
      <c r="AK39" s="2"/>
      <c r="AL39" s="2"/>
      <c r="AM39" s="2"/>
    </row>
    <row r="40" spans="3:39" x14ac:dyDescent="0.2">
      <c r="U40" s="2"/>
      <c r="V40" s="2"/>
      <c r="W40" s="2"/>
      <c r="X40" s="2"/>
      <c r="Y40" s="2"/>
      <c r="Z40" s="2"/>
      <c r="AA40" s="2"/>
      <c r="AB40" s="2"/>
      <c r="AC40" s="2"/>
      <c r="AD40" s="2"/>
      <c r="AE40" s="2"/>
      <c r="AF40" s="2"/>
      <c r="AG40" s="2"/>
      <c r="AH40" s="2"/>
      <c r="AI40" s="2"/>
      <c r="AJ40" s="2"/>
      <c r="AK40" s="2"/>
      <c r="AL40" s="2"/>
      <c r="AM40" s="2"/>
    </row>
    <row r="41" spans="3:39" x14ac:dyDescent="0.2">
      <c r="U41" s="2"/>
      <c r="V41" s="2"/>
      <c r="W41" s="2"/>
      <c r="X41" s="2"/>
      <c r="Y41" s="2"/>
      <c r="Z41" s="2"/>
      <c r="AA41" s="2"/>
      <c r="AB41" s="2"/>
      <c r="AC41" s="2"/>
      <c r="AD41" s="2"/>
      <c r="AE41" s="2"/>
      <c r="AF41" s="2"/>
      <c r="AG41" s="2"/>
      <c r="AH41" s="2"/>
      <c r="AI41" s="2"/>
      <c r="AJ41" s="2"/>
      <c r="AK41" s="2"/>
      <c r="AL41" s="2"/>
      <c r="AM41" s="2"/>
    </row>
    <row r="42" spans="3:39" x14ac:dyDescent="0.2">
      <c r="U42" s="2"/>
      <c r="V42" s="2"/>
      <c r="W42" s="2"/>
      <c r="X42" s="2"/>
      <c r="Y42" s="2"/>
      <c r="Z42" s="2"/>
      <c r="AA42" s="2"/>
      <c r="AB42" s="2"/>
      <c r="AC42" s="2"/>
      <c r="AD42" s="2"/>
      <c r="AE42" s="2"/>
      <c r="AF42" s="2"/>
      <c r="AG42" s="2"/>
      <c r="AH42" s="2"/>
      <c r="AI42" s="2"/>
      <c r="AJ42" s="2"/>
      <c r="AK42" s="2"/>
      <c r="AL42" s="2"/>
      <c r="AM42" s="2"/>
    </row>
    <row r="43" spans="3:39" x14ac:dyDescent="0.2">
      <c r="H43" s="1"/>
      <c r="U43" s="2"/>
      <c r="V43" s="2"/>
      <c r="W43" s="2"/>
      <c r="X43" s="2"/>
      <c r="Y43" s="2"/>
      <c r="Z43" s="2"/>
      <c r="AA43" s="2"/>
      <c r="AB43" s="2"/>
      <c r="AC43" s="2"/>
      <c r="AD43" s="2"/>
      <c r="AE43" s="2"/>
      <c r="AF43" s="2"/>
      <c r="AG43" s="2"/>
      <c r="AH43" s="2"/>
      <c r="AI43" s="2"/>
      <c r="AJ43" s="2"/>
      <c r="AK43" s="2"/>
      <c r="AL43" s="2"/>
      <c r="AM43" s="2"/>
    </row>
    <row r="44" spans="3:39" x14ac:dyDescent="0.2">
      <c r="H44" s="1"/>
      <c r="U44" s="2"/>
      <c r="V44" s="2"/>
      <c r="W44" s="2"/>
      <c r="X44" s="2"/>
      <c r="Y44" s="2"/>
      <c r="Z44" s="2"/>
      <c r="AA44" s="2"/>
      <c r="AB44" s="2"/>
      <c r="AC44" s="2"/>
      <c r="AD44" s="2"/>
      <c r="AE44" s="2"/>
      <c r="AF44" s="2"/>
      <c r="AG44" s="2"/>
      <c r="AH44" s="2"/>
      <c r="AI44" s="2"/>
      <c r="AJ44" s="2"/>
      <c r="AK44" s="2"/>
      <c r="AL44" s="2"/>
      <c r="AM44" s="2"/>
    </row>
    <row r="45" spans="3:39" x14ac:dyDescent="0.2">
      <c r="H45" s="1"/>
      <c r="U45" s="2"/>
      <c r="V45" s="2"/>
      <c r="W45" s="2"/>
      <c r="X45" s="2"/>
      <c r="Y45" s="2"/>
      <c r="Z45" s="2"/>
      <c r="AA45" s="2"/>
      <c r="AB45" s="2"/>
      <c r="AC45" s="2"/>
      <c r="AD45" s="2"/>
      <c r="AE45" s="2"/>
      <c r="AF45" s="2"/>
      <c r="AG45" s="2"/>
      <c r="AH45" s="2"/>
      <c r="AI45" s="2"/>
      <c r="AJ45" s="2"/>
      <c r="AK45" s="2"/>
      <c r="AL45" s="2"/>
      <c r="AM45" s="2"/>
    </row>
    <row r="46" spans="3:39" x14ac:dyDescent="0.2">
      <c r="H46" s="1"/>
      <c r="U46" s="2"/>
      <c r="V46" s="2"/>
      <c r="W46" s="2"/>
      <c r="X46" s="2"/>
      <c r="Y46" s="2"/>
      <c r="Z46" s="2"/>
      <c r="AA46" s="2"/>
      <c r="AB46" s="2"/>
      <c r="AC46" s="2"/>
      <c r="AD46" s="2"/>
      <c r="AE46" s="2"/>
      <c r="AF46" s="2"/>
      <c r="AG46" s="2"/>
      <c r="AH46" s="2"/>
      <c r="AI46" s="2"/>
      <c r="AJ46" s="2"/>
      <c r="AK46" s="2"/>
      <c r="AL46" s="2"/>
      <c r="AM46" s="2"/>
    </row>
    <row r="47" spans="3:39" x14ac:dyDescent="0.2">
      <c r="H47" s="1"/>
      <c r="U47" s="2"/>
      <c r="V47" s="2"/>
      <c r="W47" s="2"/>
      <c r="X47" s="2"/>
      <c r="Y47" s="2"/>
      <c r="Z47" s="2"/>
      <c r="AA47" s="2"/>
      <c r="AB47" s="2"/>
      <c r="AC47" s="2"/>
      <c r="AD47" s="2"/>
      <c r="AE47" s="2"/>
      <c r="AF47" s="2"/>
      <c r="AG47" s="2"/>
      <c r="AH47" s="2"/>
      <c r="AI47" s="2"/>
      <c r="AJ47" s="2"/>
      <c r="AK47" s="2"/>
      <c r="AL47" s="2"/>
      <c r="AM47" s="2"/>
    </row>
    <row r="48" spans="3:39" x14ac:dyDescent="0.2">
      <c r="H48" s="1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H48" s="2"/>
      <c r="AI48" s="2"/>
      <c r="AJ48" s="2"/>
      <c r="AK48" s="2"/>
      <c r="AL48" s="2"/>
      <c r="AM48" s="2"/>
    </row>
    <row r="49" spans="8:39" x14ac:dyDescent="0.2">
      <c r="H49" s="1"/>
      <c r="U49" s="2"/>
      <c r="V49" s="2"/>
      <c r="W49" s="2"/>
      <c r="X49" s="2"/>
      <c r="Y49" s="2"/>
      <c r="Z49" s="2"/>
      <c r="AA49" s="2"/>
      <c r="AB49" s="2"/>
      <c r="AC49" s="2"/>
      <c r="AD49" s="2"/>
      <c r="AE49" s="2"/>
      <c r="AF49" s="2"/>
      <c r="AG49" s="2"/>
      <c r="AH49" s="2"/>
      <c r="AI49" s="2"/>
      <c r="AJ49" s="2"/>
      <c r="AK49" s="2"/>
      <c r="AL49" s="2"/>
      <c r="AM49" s="2"/>
    </row>
    <row r="50" spans="8:39" x14ac:dyDescent="0.2">
      <c r="H50" s="1"/>
      <c r="U50" s="2"/>
      <c r="V50" s="2"/>
      <c r="W50" s="2"/>
      <c r="X50" s="2"/>
      <c r="Y50" s="2"/>
      <c r="Z50" s="2"/>
      <c r="AA50" s="2"/>
      <c r="AB50" s="2"/>
      <c r="AC50" s="2"/>
      <c r="AD50" s="2"/>
      <c r="AE50" s="2"/>
      <c r="AF50" s="2"/>
      <c r="AG50" s="2"/>
      <c r="AH50" s="2"/>
      <c r="AI50" s="2"/>
      <c r="AJ50" s="2"/>
      <c r="AK50" s="2"/>
      <c r="AL50" s="2"/>
      <c r="AM50" s="2"/>
    </row>
    <row r="51" spans="8:39" x14ac:dyDescent="0.2">
      <c r="H51" s="1"/>
    </row>
    <row r="52" spans="8:39" x14ac:dyDescent="0.2">
      <c r="H52" s="1"/>
    </row>
    <row r="53" spans="8:39" x14ac:dyDescent="0.2">
      <c r="H53" s="1"/>
    </row>
    <row r="54" spans="8:39" x14ac:dyDescent="0.2">
      <c r="H54" s="1"/>
    </row>
    <row r="55" spans="8:39" x14ac:dyDescent="0.2">
      <c r="H55" s="1"/>
    </row>
    <row r="56" spans="8:39" x14ac:dyDescent="0.2">
      <c r="H56" s="1"/>
    </row>
    <row r="57" spans="8:39" x14ac:dyDescent="0.2">
      <c r="H57" s="1"/>
    </row>
    <row r="58" spans="8:39" x14ac:dyDescent="0.2">
      <c r="H58" s="1"/>
    </row>
    <row r="59" spans="8:39" x14ac:dyDescent="0.2">
      <c r="H59" s="1"/>
    </row>
    <row r="60" spans="8:39" x14ac:dyDescent="0.2">
      <c r="H60" s="1"/>
    </row>
    <row r="61" spans="8:39" x14ac:dyDescent="0.2">
      <c r="H61" s="1"/>
    </row>
    <row r="62" spans="8:39" x14ac:dyDescent="0.2">
      <c r="H62" s="1"/>
    </row>
    <row r="63" spans="8:39" x14ac:dyDescent="0.2">
      <c r="H63" s="1"/>
    </row>
    <row r="64" spans="8:39" x14ac:dyDescent="0.2">
      <c r="H64" s="1"/>
    </row>
    <row r="65" spans="8:8" x14ac:dyDescent="0.2">
      <c r="H65" s="1"/>
    </row>
    <row r="66" spans="8:8" x14ac:dyDescent="0.2">
      <c r="H66" s="1"/>
    </row>
    <row r="67" spans="8:8" x14ac:dyDescent="0.2">
      <c r="H67" s="1"/>
    </row>
    <row r="68" spans="8:8" x14ac:dyDescent="0.2">
      <c r="H68" s="1"/>
    </row>
    <row r="69" spans="8:8" x14ac:dyDescent="0.2">
      <c r="H69" s="1"/>
    </row>
    <row r="70" spans="8:8" x14ac:dyDescent="0.2">
      <c r="H70" s="1"/>
    </row>
    <row r="71" spans="8:8" x14ac:dyDescent="0.2">
      <c r="H71" s="1"/>
    </row>
    <row r="72" spans="8:8" x14ac:dyDescent="0.2">
      <c r="H72" s="1"/>
    </row>
    <row r="73" spans="8:8" x14ac:dyDescent="0.2">
      <c r="H73" s="1"/>
    </row>
    <row r="74" spans="8:8" x14ac:dyDescent="0.2">
      <c r="H74" s="1"/>
    </row>
    <row r="75" spans="8:8" x14ac:dyDescent="0.2">
      <c r="H75" s="1"/>
    </row>
    <row r="76" spans="8:8" x14ac:dyDescent="0.2">
      <c r="H76" s="1"/>
    </row>
    <row r="77" spans="8:8" x14ac:dyDescent="0.2">
      <c r="H77" s="1"/>
    </row>
    <row r="78" spans="8:8" x14ac:dyDescent="0.2">
      <c r="H78" s="1"/>
    </row>
    <row r="79" spans="8:8" x14ac:dyDescent="0.2">
      <c r="H79" s="1"/>
    </row>
    <row r="80" spans="8:8" x14ac:dyDescent="0.2">
      <c r="H80" s="1"/>
    </row>
    <row r="81" spans="8:8" x14ac:dyDescent="0.2">
      <c r="H81" s="1"/>
    </row>
    <row r="82" spans="8:8" x14ac:dyDescent="0.2">
      <c r="H82" s="1"/>
    </row>
    <row r="83" spans="8:8" x14ac:dyDescent="0.2">
      <c r="H83" s="1"/>
    </row>
    <row r="84" spans="8:8" x14ac:dyDescent="0.2">
      <c r="H84" s="1"/>
    </row>
    <row r="85" spans="8:8" x14ac:dyDescent="0.2">
      <c r="H85" s="1"/>
    </row>
    <row r="86" spans="8:8" x14ac:dyDescent="0.2">
      <c r="H86" s="1"/>
    </row>
    <row r="87" spans="8:8" x14ac:dyDescent="0.2">
      <c r="H87" s="1"/>
    </row>
    <row r="88" spans="8:8" x14ac:dyDescent="0.2">
      <c r="H88" s="1"/>
    </row>
    <row r="89" spans="8:8" x14ac:dyDescent="0.2">
      <c r="H89" s="1"/>
    </row>
    <row r="90" spans="8:8" x14ac:dyDescent="0.2">
      <c r="H90" s="1"/>
    </row>
    <row r="91" spans="8:8" x14ac:dyDescent="0.2">
      <c r="H91" s="1"/>
    </row>
    <row r="92" spans="8:8" x14ac:dyDescent="0.2">
      <c r="H92" s="1"/>
    </row>
    <row r="93" spans="8:8" x14ac:dyDescent="0.2">
      <c r="H93" s="1"/>
    </row>
    <row r="94" spans="8:8" x14ac:dyDescent="0.2">
      <c r="H94" s="1"/>
    </row>
    <row r="95" spans="8:8" x14ac:dyDescent="0.2">
      <c r="H95" s="1"/>
    </row>
    <row r="96" spans="8:8" x14ac:dyDescent="0.2">
      <c r="H96" s="1"/>
    </row>
    <row r="97" spans="8:8" x14ac:dyDescent="0.2">
      <c r="H97" s="1"/>
    </row>
    <row r="98" spans="8:8" x14ac:dyDescent="0.2">
      <c r="H98" s="1"/>
    </row>
    <row r="99" spans="8:8" x14ac:dyDescent="0.2">
      <c r="H99" s="1"/>
    </row>
    <row r="100" spans="8:8" x14ac:dyDescent="0.2">
      <c r="H100" s="1"/>
    </row>
    <row r="101" spans="8:8" x14ac:dyDescent="0.2">
      <c r="H101" s="1"/>
    </row>
    <row r="102" spans="8:8" x14ac:dyDescent="0.2">
      <c r="H102" s="1"/>
    </row>
    <row r="103" spans="8:8" x14ac:dyDescent="0.2">
      <c r="H103" s="1"/>
    </row>
    <row r="104" spans="8:8" x14ac:dyDescent="0.2">
      <c r="H104" s="1"/>
    </row>
    <row r="105" spans="8:8" x14ac:dyDescent="0.2">
      <c r="H105" s="1"/>
    </row>
    <row r="106" spans="8:8" x14ac:dyDescent="0.2">
      <c r="H106" s="1"/>
    </row>
    <row r="107" spans="8:8" x14ac:dyDescent="0.2">
      <c r="H107" s="1"/>
    </row>
    <row r="108" spans="8:8" x14ac:dyDescent="0.2">
      <c r="H108" s="1"/>
    </row>
    <row r="109" spans="8:8" x14ac:dyDescent="0.2">
      <c r="H109" s="1"/>
    </row>
    <row r="110" spans="8:8" x14ac:dyDescent="0.2">
      <c r="H110" s="1"/>
    </row>
    <row r="111" spans="8:8" x14ac:dyDescent="0.2">
      <c r="H111" s="1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9" r:id="rId3" name="Button 5">
              <controlPr defaultSize="0" print="0" autoFill="0" autoPict="0" macro="[0]!ThisWorkbook.SolveAll">
                <anchor moveWithCells="1" sizeWithCells="1">
                  <from>
                    <xdr:col>3</xdr:col>
                    <xdr:colOff>495300</xdr:colOff>
                    <xdr:row>19</xdr:row>
                    <xdr:rowOff>177800</xdr:rowOff>
                  </from>
                  <to>
                    <xdr:col>5</xdr:col>
                    <xdr:colOff>368300</xdr:colOff>
                    <xdr:row>21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760853-FE37-FF4E-B326-E4F0DFBF5AC2}">
  <sheetPr codeName="Sheet3"/>
  <dimension ref="A2:M111"/>
  <sheetViews>
    <sheetView tabSelected="1" workbookViewId="0">
      <selection activeCell="D3" sqref="D3"/>
    </sheetView>
  </sheetViews>
  <sheetFormatPr baseColWidth="10" defaultRowHeight="16" x14ac:dyDescent="0.2"/>
  <cols>
    <col min="1" max="1" width="12.1640625" bestFit="1" customWidth="1"/>
    <col min="6" max="6" width="10.1640625" customWidth="1"/>
  </cols>
  <sheetData>
    <row r="2" spans="1:13" x14ac:dyDescent="0.2">
      <c r="C2" t="s">
        <v>8</v>
      </c>
      <c r="D2" t="s">
        <v>4</v>
      </c>
      <c r="E2" t="s">
        <v>19</v>
      </c>
      <c r="F2" t="s">
        <v>18</v>
      </c>
      <c r="G2" t="s">
        <v>47</v>
      </c>
      <c r="H2" t="s">
        <v>48</v>
      </c>
      <c r="I2" s="2" t="s">
        <v>41</v>
      </c>
      <c r="J2" t="s">
        <v>46</v>
      </c>
      <c r="L2" t="s">
        <v>11</v>
      </c>
      <c r="M2">
        <f>tandem!C6+tandem!C13</f>
        <v>2</v>
      </c>
    </row>
    <row r="3" spans="1:13" x14ac:dyDescent="0.2">
      <c r="A3">
        <v>0</v>
      </c>
      <c r="B3">
        <f t="shared" ref="B3:B34" si="0">1-(EXP(A3)-1)/(EXP(1)-1)</f>
        <v>1</v>
      </c>
      <c r="C3" s="2">
        <f>B3*M$32</f>
        <v>1.1927390784299416</v>
      </c>
      <c r="D3" s="2" t="e">
        <f>tandem!C$6*tandem!C$3*LN((M$28-C3)/tandem!C$7+1)</f>
        <v>#NUM!</v>
      </c>
      <c r="E3" s="2" t="e">
        <f>tandem!C$13*tandem!C$3*LN((M$29-C3)/tandem!C$14+1)</f>
        <v>#NUM!</v>
      </c>
      <c r="F3" s="2">
        <f>M32</f>
        <v>1.1927390784299416</v>
      </c>
      <c r="G3" s="2">
        <f>A3*M$30</f>
        <v>0</v>
      </c>
      <c r="H3" s="2">
        <f>A3*M$31</f>
        <v>0</v>
      </c>
      <c r="I3" s="2">
        <f>tandem!C$8-tandem!C$7*(EXP(G3/tandem!C$6/tandem!C$3)-1)</f>
        <v>0.99999999500050007</v>
      </c>
      <c r="J3" s="2">
        <f>tandem!C$15-tandem!C$14*(EXP(H3/tandem!C$13/tandem!C$3)-1)</f>
        <v>1.0000000049994999</v>
      </c>
      <c r="L3" t="s">
        <v>22</v>
      </c>
      <c r="M3">
        <f>tandem!C6/M2</f>
        <v>0.5</v>
      </c>
    </row>
    <row r="4" spans="1:13" x14ac:dyDescent="0.2">
      <c r="A4">
        <v>0.02</v>
      </c>
      <c r="B4">
        <f t="shared" si="0"/>
        <v>0.98824329065688121</v>
      </c>
      <c r="C4" s="2">
        <f>B4*M$32</f>
        <v>1.1787163917626615</v>
      </c>
      <c r="D4" s="2" t="e">
        <f>tandem!C$6*tandem!C$3*LN((M$28-C4)/tandem!C$7+1)</f>
        <v>#NUM!</v>
      </c>
      <c r="E4" s="2" t="e">
        <f>tandem!C$13*tandem!C$3*LN((M$29-C4)/tandem!C$14+1)</f>
        <v>#NUM!</v>
      </c>
      <c r="F4" s="2" t="e">
        <f t="shared" ref="F4:F35" si="1">D4+E4</f>
        <v>#NUM!</v>
      </c>
      <c r="G4" s="2">
        <f t="shared" ref="G4:G53" si="2">A4*M$30</f>
        <v>7.9652898128468735E-3</v>
      </c>
      <c r="H4" s="2">
        <f>A4*M$31</f>
        <v>1.2736246125530535E-2</v>
      </c>
      <c r="I4" s="2">
        <f>tandem!C$8-tandem!C$7*(EXP(G4/tandem!C$6/tandem!C$3)-1)</f>
        <v>0.99999999139974594</v>
      </c>
      <c r="J4" s="2">
        <f>tandem!C$15-tandem!C$14*(EXP(H4/tandem!C$13/tandem!C$3)-1)</f>
        <v>1.0000000049988647</v>
      </c>
      <c r="L4" t="s">
        <v>23</v>
      </c>
      <c r="M4">
        <f>tandem!C13/M2</f>
        <v>0.5</v>
      </c>
    </row>
    <row r="5" spans="1:13" x14ac:dyDescent="0.2">
      <c r="A5">
        <v>0.04</v>
      </c>
      <c r="B5">
        <f t="shared" si="0"/>
        <v>0.97624908003072619</v>
      </c>
      <c r="C5" s="2">
        <f>B5*M$32</f>
        <v>1.1644104280339267</v>
      </c>
      <c r="D5" s="2" t="e">
        <f>tandem!C$6*tandem!C$3*LN((M$28-C5)/tandem!C$7+1)</f>
        <v>#NUM!</v>
      </c>
      <c r="E5" s="2" t="e">
        <f>tandem!C$13*tandem!C$3*LN((M$29-C5)/tandem!C$14+1)</f>
        <v>#NUM!</v>
      </c>
      <c r="F5" s="2" t="e">
        <f t="shared" si="1"/>
        <v>#NUM!</v>
      </c>
      <c r="G5" s="2">
        <f t="shared" si="2"/>
        <v>1.5930579625693747E-2</v>
      </c>
      <c r="H5" s="2">
        <f>A5*M$31</f>
        <v>2.5472492251061071E-2</v>
      </c>
      <c r="I5" s="2">
        <f>tandem!C$8-tandem!C$7*(EXP(G5/tandem!C$6/tandem!C$3)-1)</f>
        <v>0.99999998650244881</v>
      </c>
      <c r="J5" s="2">
        <f>tandem!C$15-tandem!C$14*(EXP(H5/tandem!C$13/tandem!C$3)-1)</f>
        <v>1.0000000049978262</v>
      </c>
    </row>
    <row r="6" spans="1:13" x14ac:dyDescent="0.2">
      <c r="A6">
        <v>0.06</v>
      </c>
      <c r="B6">
        <f t="shared" si="0"/>
        <v>0.96401257027735976</v>
      </c>
      <c r="C6" s="2">
        <f>B6*M$32</f>
        <v>1.1498154646674974</v>
      </c>
      <c r="D6" s="2" t="e">
        <f>tandem!C$6*tandem!C$3*LN((M$28-C6)/tandem!C$7+1)</f>
        <v>#NUM!</v>
      </c>
      <c r="E6" s="2" t="e">
        <f>tandem!C$13*tandem!C$3*LN((M$29-C6)/tandem!C$14+1)</f>
        <v>#NUM!</v>
      </c>
      <c r="F6" s="2" t="e">
        <f t="shared" si="1"/>
        <v>#NUM!</v>
      </c>
      <c r="G6" s="2">
        <f t="shared" si="2"/>
        <v>2.3895869438540621E-2</v>
      </c>
      <c r="H6" s="2">
        <f>A6*M$31</f>
        <v>3.8208738376591604E-2</v>
      </c>
      <c r="I6" s="2">
        <f>tandem!C$8-tandem!C$7*(EXP(G6/tandem!C$6/tandem!C$3)-1)</f>
        <v>0.99999997984175548</v>
      </c>
      <c r="J6" s="2">
        <f>tandem!C$15-tandem!C$14*(EXP(H6/tandem!C$13/tandem!C$3)-1)</f>
        <v>1.0000000049961277</v>
      </c>
      <c r="L6">
        <f>1-L13</f>
        <v>0.5</v>
      </c>
      <c r="M6">
        <f>L6*tandem!C2</f>
        <v>1</v>
      </c>
    </row>
    <row r="7" spans="1:13" x14ac:dyDescent="0.2">
      <c r="A7">
        <v>0.08</v>
      </c>
      <c r="B7">
        <f t="shared" si="0"/>
        <v>0.9515288666297248</v>
      </c>
      <c r="C7" s="2">
        <f>B7*M$32</f>
        <v>1.1349256634834248</v>
      </c>
      <c r="D7" s="2" t="e">
        <f>tandem!C$6*tandem!C$3*LN((M$28-C7)/tandem!C$7+1)</f>
        <v>#NUM!</v>
      </c>
      <c r="E7" s="2" t="e">
        <f>tandem!C$13*tandem!C$3*LN((M$29-C7)/tandem!C$14+1)</f>
        <v>#NUM!</v>
      </c>
      <c r="F7" s="2" t="e">
        <f t="shared" si="1"/>
        <v>#NUM!</v>
      </c>
      <c r="G7" s="2">
        <f t="shared" si="2"/>
        <v>3.1861159251387494E-2</v>
      </c>
      <c r="H7" s="2">
        <f>A7*M$31</f>
        <v>5.0944984502122141E-2</v>
      </c>
      <c r="I7" s="2">
        <f>tandem!C$8-tandem!C$7*(EXP(G7/tandem!C$6/tandem!C$3)-1)</f>
        <v>0.99999997078271019</v>
      </c>
      <c r="J7" s="2">
        <f>tandem!C$15-tandem!C$14*(EXP(H7/tandem!C$13/tandem!C$3)-1)</f>
        <v>1.0000000049933508</v>
      </c>
      <c r="L7">
        <f t="shared" ref="L7:M9" si="3">-L14</f>
        <v>0</v>
      </c>
      <c r="M7" s="3">
        <f t="shared" si="3"/>
        <v>0</v>
      </c>
    </row>
    <row r="8" spans="1:13" x14ac:dyDescent="0.2">
      <c r="A8">
        <v>0.1</v>
      </c>
      <c r="B8">
        <f t="shared" si="0"/>
        <v>0.9387929754399108</v>
      </c>
      <c r="C8" s="2">
        <f>B8*M$32</f>
        <v>1.1197350683627021</v>
      </c>
      <c r="D8" s="2" t="e">
        <f>tandem!C$6*tandem!C$3*LN((M$28-C8)/tandem!C$7+1)</f>
        <v>#NUM!</v>
      </c>
      <c r="E8" s="2" t="e">
        <f>tandem!C$13*tandem!C$3*LN((M$29-C8)/tandem!C$14+1)</f>
        <v>#NUM!</v>
      </c>
      <c r="F8" s="2" t="e">
        <f t="shared" si="1"/>
        <v>#NUM!</v>
      </c>
      <c r="G8" s="2">
        <f t="shared" si="2"/>
        <v>3.9826449064234375E-2</v>
      </c>
      <c r="H8" s="2">
        <f>A8*M$31</f>
        <v>6.3681230627652671E-2</v>
      </c>
      <c r="I8" s="2">
        <f>tandem!C$8-tandem!C$7*(EXP(G8/tandem!C$6/tandem!C$3)-1)</f>
        <v>0.9999999584617254</v>
      </c>
      <c r="J8" s="2">
        <f>tandem!C$15-tandem!C$14*(EXP(H8/tandem!C$13/tandem!C$3)-1)</f>
        <v>1.0000000049888098</v>
      </c>
      <c r="L8">
        <f t="shared" si="3"/>
        <v>-0.5</v>
      </c>
      <c r="M8" s="1">
        <f t="shared" si="3"/>
        <v>-5.0000000000000001E-9</v>
      </c>
    </row>
    <row r="9" spans="1:13" x14ac:dyDescent="0.2">
      <c r="A9">
        <v>0.12</v>
      </c>
      <c r="B9">
        <f t="shared" si="0"/>
        <v>0.92579980218162761</v>
      </c>
      <c r="C9" s="2">
        <f>B9*M$32</f>
        <v>1.1042376028647367</v>
      </c>
      <c r="D9" s="2" t="e">
        <f>tandem!C$6*tandem!C$3*LN((M$28-C9)/tandem!C$7+1)</f>
        <v>#NUM!</v>
      </c>
      <c r="E9" s="2" t="e">
        <f>tandem!C$13*tandem!C$3*LN((M$29-C9)/tandem!C$14+1)</f>
        <v>#NUM!</v>
      </c>
      <c r="F9" s="2" t="e">
        <f t="shared" si="1"/>
        <v>#NUM!</v>
      </c>
      <c r="G9" s="2">
        <f t="shared" si="2"/>
        <v>4.7791738877081241E-2</v>
      </c>
      <c r="H9" s="2">
        <f>A9*M$31</f>
        <v>7.6417476753183208E-2</v>
      </c>
      <c r="I9" s="2">
        <f>tandem!C$8-tandem!C$7*(EXP(G9/tandem!C$6/tandem!C$3)-1)</f>
        <v>0.99999994170425699</v>
      </c>
      <c r="J9" s="2">
        <f>tandem!C$15-tandem!C$14*(EXP(H9/tandem!C$13/tandem!C$3)-1)</f>
        <v>1.0000000049813849</v>
      </c>
      <c r="L9">
        <f t="shared" si="3"/>
        <v>0.5</v>
      </c>
      <c r="M9" s="1">
        <f t="shared" si="3"/>
        <v>4.9999999999999999E-13</v>
      </c>
    </row>
    <row r="10" spans="1:13" x14ac:dyDescent="0.2">
      <c r="A10">
        <v>0.14000000000000001</v>
      </c>
      <c r="B10">
        <f t="shared" si="0"/>
        <v>0.91254414941232731</v>
      </c>
      <c r="C10" s="2">
        <f>B10*M$32</f>
        <v>1.0884270677966943</v>
      </c>
      <c r="D10" s="2" t="e">
        <f>tandem!C$6*tandem!C$3*LN((M$28-C10)/tandem!C$7+1)</f>
        <v>#NUM!</v>
      </c>
      <c r="E10" s="2" t="e">
        <f>tandem!C$13*tandem!C$3*LN((M$29-C10)/tandem!C$14+1)</f>
        <v>#NUM!</v>
      </c>
      <c r="F10" s="2" t="e">
        <f t="shared" si="1"/>
        <v>#NUM!</v>
      </c>
      <c r="G10" s="2">
        <f t="shared" si="2"/>
        <v>5.5757028689928122E-2</v>
      </c>
      <c r="H10" s="2">
        <f>A10*M$31</f>
        <v>8.9153722878713745E-2</v>
      </c>
      <c r="I10" s="2">
        <f>tandem!C$8-tandem!C$7*(EXP(G10/tandem!C$6/tandem!C$3)-1)</f>
        <v>0.99999991891283624</v>
      </c>
      <c r="J10" s="2">
        <f>tandem!C$15-tandem!C$14*(EXP(H10/tandem!C$13/tandem!C$3)-1)</f>
        <v>1.0000000049692435</v>
      </c>
      <c r="L10" t="s">
        <v>14</v>
      </c>
      <c r="M10">
        <f>SUM(M6:M9)</f>
        <v>0.99999999500050007</v>
      </c>
    </row>
    <row r="11" spans="1:13" x14ac:dyDescent="0.2">
      <c r="A11">
        <v>0.16</v>
      </c>
      <c r="B11">
        <f t="shared" si="0"/>
        <v>0.89902071469415767</v>
      </c>
      <c r="C11" s="2">
        <f>B11*M$32</f>
        <v>1.0722971387337372</v>
      </c>
      <c r="D11" s="2" t="e">
        <f>tandem!C$6*tandem!C$3*LN((M$28-C11)/tandem!C$7+1)</f>
        <v>#NUM!</v>
      </c>
      <c r="E11" s="2" t="e">
        <f>tandem!C$13*tandem!C$3*LN((M$29-C11)/tandem!C$14+1)</f>
        <v>#NUM!</v>
      </c>
      <c r="F11" s="2" t="e">
        <f t="shared" si="1"/>
        <v>#NUM!</v>
      </c>
      <c r="G11" s="2">
        <f t="shared" si="2"/>
        <v>6.3722318502774988E-2</v>
      </c>
      <c r="H11" s="2">
        <f>A11*M$31</f>
        <v>0.10188996900424428</v>
      </c>
      <c r="I11" s="2">
        <f>tandem!C$8-tandem!C$7*(EXP(G11/tandem!C$6/tandem!C$3)-1)</f>
        <v>0.99999988791478545</v>
      </c>
      <c r="J11" s="2">
        <f>tandem!C$15-tandem!C$14*(EXP(H11/tandem!C$13/tandem!C$3)-1)</f>
        <v>1.0000000049493902</v>
      </c>
      <c r="L11" s="1" t="s">
        <v>13</v>
      </c>
      <c r="M11" s="4">
        <f>1-M18</f>
        <v>0.49999999750025004</v>
      </c>
    </row>
    <row r="12" spans="1:13" x14ac:dyDescent="0.2">
      <c r="A12">
        <v>0.18</v>
      </c>
      <c r="B12">
        <f t="shared" si="0"/>
        <v>0.88522408847291678</v>
      </c>
      <c r="C12" s="2">
        <f>B12*M$32</f>
        <v>1.0558413634891719</v>
      </c>
      <c r="D12" s="2" t="e">
        <f>tandem!C$6*tandem!C$3*LN((M$28-C12)/tandem!C$7+1)</f>
        <v>#NUM!</v>
      </c>
      <c r="E12" s="2" t="e">
        <f>tandem!C$13*tandem!C$3*LN((M$29-C12)/tandem!C$14+1)</f>
        <v>#NUM!</v>
      </c>
      <c r="F12" s="2" t="e">
        <f t="shared" si="1"/>
        <v>#NUM!</v>
      </c>
      <c r="G12" s="2">
        <f t="shared" si="2"/>
        <v>7.1687608315621862E-2</v>
      </c>
      <c r="H12" s="2">
        <f>A12*M$31</f>
        <v>0.11462621512977481</v>
      </c>
      <c r="I12" s="2">
        <f>tandem!C$8-tandem!C$7*(EXP(G12/tandem!C$6/tandem!C$3)-1)</f>
        <v>0.99999984575509859</v>
      </c>
      <c r="J12" s="2">
        <f>tandem!C$15-tandem!C$14*(EXP(H12/tandem!C$13/tandem!C$3)-1)</f>
        <v>1.0000000049169266</v>
      </c>
    </row>
    <row r="13" spans="1:13" x14ac:dyDescent="0.2">
      <c r="A13">
        <v>0.2</v>
      </c>
      <c r="B13">
        <f t="shared" si="0"/>
        <v>0.87114875191415841</v>
      </c>
      <c r="C13" s="2">
        <f>B13*M$32</f>
        <v>1.0390531595334871</v>
      </c>
      <c r="D13" s="2" t="e">
        <f>tandem!C$6*tandem!C$3*LN((M$28-C13)/tandem!C$7+1)</f>
        <v>#NUM!</v>
      </c>
      <c r="E13" s="2" t="e">
        <f>tandem!C$13*tandem!C$3*LN((M$29-C13)/tandem!C$14+1)</f>
        <v>#NUM!</v>
      </c>
      <c r="F13" s="2" t="e">
        <f t="shared" si="1"/>
        <v>#NUM!</v>
      </c>
      <c r="G13" s="2">
        <f t="shared" si="2"/>
        <v>7.9652898128468749E-2</v>
      </c>
      <c r="H13" s="2">
        <f>A13*M$31</f>
        <v>0.12736246125530534</v>
      </c>
      <c r="I13" s="2">
        <f>tandem!C$8-tandem!C$7*(EXP(G13/tandem!C$6/tandem!C$3)-1)</f>
        <v>0.99999978841474524</v>
      </c>
      <c r="J13" s="2">
        <f>tandem!C$15-tandem!C$14*(EXP(H13/tandem!C$13/tandem!C$3)-1)</f>
        <v>1.0000000048638436</v>
      </c>
      <c r="L13">
        <f>M4</f>
        <v>0.5</v>
      </c>
      <c r="M13">
        <f>L13*Ip_mA</f>
        <v>1</v>
      </c>
    </row>
    <row r="14" spans="1:13" x14ac:dyDescent="0.2">
      <c r="A14">
        <v>0.22</v>
      </c>
      <c r="B14">
        <f t="shared" si="0"/>
        <v>0.85678907469558574</v>
      </c>
      <c r="C14" s="2">
        <f>B14*M$32</f>
        <v>1.0219258113612553</v>
      </c>
      <c r="D14" s="2" t="e">
        <f>tandem!C$6*tandem!C$3*LN((M$28-C14)/tandem!C$7+1)</f>
        <v>#NUM!</v>
      </c>
      <c r="E14" s="2" t="e">
        <f>tandem!C$13*tandem!C$3*LN((M$29-C14)/tandem!C$14+1)</f>
        <v>#NUM!</v>
      </c>
      <c r="F14" s="2" t="e">
        <f t="shared" si="1"/>
        <v>#NUM!</v>
      </c>
      <c r="G14" s="2">
        <f t="shared" si="2"/>
        <v>8.7618187941315609E-2</v>
      </c>
      <c r="H14" s="2">
        <f>A14*M$31</f>
        <v>0.14009870738083588</v>
      </c>
      <c r="I14" s="2">
        <f>tandem!C$8-tandem!C$7*(EXP(G14/tandem!C$6/tandem!C$3)-1)</f>
        <v>0.99999971042754066</v>
      </c>
      <c r="J14" s="2">
        <f>tandem!C$15-tandem!C$14*(EXP(H14/tandem!C$13/tandem!C$3)-1)</f>
        <v>1.0000000047770434</v>
      </c>
      <c r="L14">
        <f>M4-M3</f>
        <v>0</v>
      </c>
      <c r="M14" s="3">
        <f>L14*Im_mA</f>
        <v>0</v>
      </c>
    </row>
    <row r="15" spans="1:13" x14ac:dyDescent="0.2">
      <c r="A15">
        <v>0.24</v>
      </c>
      <c r="B15">
        <f t="shared" si="0"/>
        <v>0.84213931275484599</v>
      </c>
      <c r="C15" s="2">
        <f>B15*M$32</f>
        <v>1.0044524678048394</v>
      </c>
      <c r="D15" s="2" t="e">
        <f>tandem!C$6*tandem!C$3*LN((M$28-C15)/tandem!C$7+1)</f>
        <v>#NUM!</v>
      </c>
      <c r="E15" s="2" t="e">
        <f>tandem!C$13*tandem!C$3*LN((M$29-C15)/tandem!C$14+1)</f>
        <v>#NUM!</v>
      </c>
      <c r="F15" s="2" t="e">
        <f t="shared" si="1"/>
        <v>#NUM!</v>
      </c>
      <c r="G15" s="2">
        <f t="shared" si="2"/>
        <v>9.5583477754162482E-2</v>
      </c>
      <c r="H15" s="2">
        <f>A15*M$31</f>
        <v>0.15283495350636642</v>
      </c>
      <c r="I15" s="2">
        <f>tandem!C$8-tandem!C$7*(EXP(G15/tandem!C$6/tandem!C$3)-1)</f>
        <v>0.99999960435906132</v>
      </c>
      <c r="J15" s="2">
        <f>tandem!C$15-tandem!C$14*(EXP(H15/tandem!C$13/tandem!C$3)-1)</f>
        <v>1.0000000046351105</v>
      </c>
      <c r="L15">
        <f>M4</f>
        <v>0.5</v>
      </c>
      <c r="M15" s="1">
        <f>L15*I0_1_mA</f>
        <v>5.0000000000000001E-9</v>
      </c>
    </row>
    <row r="16" spans="1:13" x14ac:dyDescent="0.2">
      <c r="A16">
        <v>0.26</v>
      </c>
      <c r="B16">
        <f t="shared" si="0"/>
        <v>0.82719360599183045</v>
      </c>
      <c r="C16" s="2">
        <f>B16*M$32</f>
        <v>0.98662613929383614</v>
      </c>
      <c r="D16" s="2">
        <f>tandem!C$6*tandem!C$3*LN((M$28-C16)/tandem!C$7+1)</f>
        <v>0.36535130383189951</v>
      </c>
      <c r="E16" s="2">
        <f>tandem!C$13*tandem!C$3*LN((M$29-C16)/tandem!C$14+1)</f>
        <v>0.60389911946608232</v>
      </c>
      <c r="F16" s="2">
        <f t="shared" si="1"/>
        <v>0.96925042329798183</v>
      </c>
      <c r="G16" s="2">
        <f t="shared" si="2"/>
        <v>0.10354876756700937</v>
      </c>
      <c r="H16" s="2">
        <f>A16*M$31</f>
        <v>0.16557119963189695</v>
      </c>
      <c r="I16" s="2">
        <f>tandem!C$8-tandem!C$7*(EXP(G16/tandem!C$6/tandem!C$3)-1)</f>
        <v>0.99999946009793073</v>
      </c>
      <c r="J16" s="2">
        <f>tandem!C$15-tandem!C$14*(EXP(H16/tandem!C$13/tandem!C$3)-1)</f>
        <v>1.0000000044030262</v>
      </c>
      <c r="L16">
        <f>-M3</f>
        <v>-0.5</v>
      </c>
      <c r="M16" s="1">
        <f>L16*I0_2_mA</f>
        <v>-4.9999999999999999E-13</v>
      </c>
    </row>
    <row r="17" spans="1:13" x14ac:dyDescent="0.2">
      <c r="A17">
        <v>0.28000000000000003</v>
      </c>
      <c r="B17">
        <f t="shared" si="0"/>
        <v>0.81194597592455509</v>
      </c>
      <c r="C17" s="2">
        <f>B17*M$32</f>
        <v>0.96843969505915339</v>
      </c>
      <c r="D17" s="2">
        <f>tandem!C$6*tandem!C$3*LN((M$28-C17)/tandem!C$7+1)</f>
        <v>0.38758898774347655</v>
      </c>
      <c r="E17" s="2">
        <f>tandem!C$13*tandem!C$3*LN((M$29-C17)/tandem!C$14+1)</f>
        <v>0.62613680337765953</v>
      </c>
      <c r="F17" s="2">
        <f t="shared" si="1"/>
        <v>1.0137257911211361</v>
      </c>
      <c r="G17" s="2">
        <f t="shared" si="2"/>
        <v>0.11151405737985624</v>
      </c>
      <c r="H17" s="2">
        <f>A17*M$31</f>
        <v>0.17830744575742749</v>
      </c>
      <c r="I17" s="2">
        <f>tandem!C$8-tandem!C$7*(EXP(G17/tandem!C$6/tandem!C$3)-1)</f>
        <v>0.9999992638919144</v>
      </c>
      <c r="J17" s="2">
        <f>tandem!C$15-tandem!C$14*(EXP(H17/tandem!C$13/tandem!C$3)-1)</f>
        <v>1.0000000040235286</v>
      </c>
      <c r="L17" t="s">
        <v>15</v>
      </c>
      <c r="M17">
        <f>SUM(M13:M16)</f>
        <v>1.0000000049994999</v>
      </c>
    </row>
    <row r="18" spans="1:13" x14ac:dyDescent="0.2">
      <c r="A18">
        <v>0.3</v>
      </c>
      <c r="B18">
        <f t="shared" si="0"/>
        <v>0.79639032329768833</v>
      </c>
      <c r="C18" s="2">
        <f>B18*M$32</f>
        <v>0.94988586028060806</v>
      </c>
      <c r="D18" s="2">
        <f>tandem!C$6*tandem!C$3*LN((M$28-C18)/tandem!C$7+1)</f>
        <v>0.39956522496045344</v>
      </c>
      <c r="E18" s="2">
        <f>tandem!C$13*tandem!C$3*LN((M$29-C18)/tandem!C$14+1)</f>
        <v>0.63811304059463647</v>
      </c>
      <c r="F18" s="2">
        <f t="shared" si="1"/>
        <v>1.03767826555509</v>
      </c>
      <c r="G18" s="2">
        <f t="shared" si="2"/>
        <v>0.1194793471927031</v>
      </c>
      <c r="H18" s="2">
        <f>A18*M$31</f>
        <v>0.19104369188295803</v>
      </c>
      <c r="I18" s="2">
        <f>tandem!C$8-tandem!C$7*(EXP(G18/tandem!C$6/tandem!C$3)-1)</f>
        <v>0.99999899703693607</v>
      </c>
      <c r="J18" s="2">
        <f>tandem!C$15-tandem!C$14*(EXP(H18/tandem!C$13/tandem!C$3)-1)</f>
        <v>1.0000000034029852</v>
      </c>
      <c r="L18" s="1" t="s">
        <v>12</v>
      </c>
      <c r="M18" s="4">
        <f>M17/Ip_mA</f>
        <v>0.50000000249974996</v>
      </c>
    </row>
    <row r="19" spans="1:13" x14ac:dyDescent="0.2">
      <c r="A19">
        <v>0.32</v>
      </c>
      <c r="B19">
        <f t="shared" si="0"/>
        <v>0.78052042564276825</v>
      </c>
      <c r="C19" s="2">
        <f>B19*M$32</f>
        <v>0.93095721317690117</v>
      </c>
      <c r="D19" s="2">
        <f>tandem!C$6*tandem!C$3*LN((M$28-C19)/tandem!C$7+1)</f>
        <v>0.40786418547125769</v>
      </c>
      <c r="E19" s="2">
        <f>tandem!C$13*tandem!C$3*LN((M$29-C19)/tandem!C$14+1)</f>
        <v>0.64641200110544084</v>
      </c>
      <c r="F19" s="2">
        <f t="shared" si="1"/>
        <v>1.0542761865766985</v>
      </c>
      <c r="G19" s="2">
        <f t="shared" si="2"/>
        <v>0.12744463700554998</v>
      </c>
      <c r="H19" s="2">
        <f>A19*M$31</f>
        <v>0.20377993800848856</v>
      </c>
      <c r="I19" s="2">
        <f>tandem!C$8-tandem!C$7*(EXP(G19/tandem!C$6/tandem!C$3)-1)</f>
        <v>0.99999863409404177</v>
      </c>
      <c r="J19" s="2">
        <f>tandem!C$15-tandem!C$14*(EXP(H19/tandem!C$13/tandem!C$3)-1)</f>
        <v>1.0000000023882916</v>
      </c>
    </row>
    <row r="20" spans="1:13" x14ac:dyDescent="0.2">
      <c r="A20">
        <v>0.34</v>
      </c>
      <c r="B20">
        <f t="shared" si="0"/>
        <v>0.76432993478913136</v>
      </c>
      <c r="C20" s="2">
        <f>B20*M$32</f>
        <v>0.91164618203680592</v>
      </c>
      <c r="D20" s="2">
        <f>tandem!C$6*tandem!C$3*LN((M$28-C20)/tandem!C$7+1)</f>
        <v>0.41425172077686734</v>
      </c>
      <c r="E20" s="2">
        <f>tandem!C$13*tandem!C$3*LN((M$29-C20)/tandem!C$14+1)</f>
        <v>0.65279953641105037</v>
      </c>
      <c r="F20" s="2">
        <f t="shared" si="1"/>
        <v>1.0670512571879178</v>
      </c>
      <c r="G20" s="2">
        <f t="shared" si="2"/>
        <v>0.13540992681839686</v>
      </c>
      <c r="H20" s="2">
        <f>A20*M$31</f>
        <v>0.2165161841340191</v>
      </c>
      <c r="I20" s="2">
        <f>tandem!C$8-tandem!C$7*(EXP(G20/tandem!C$6/tandem!C$3)-1)</f>
        <v>0.99999814046433588</v>
      </c>
      <c r="J20" s="2">
        <f>tandem!C$15-tandem!C$14*(EXP(H20/tandem!C$13/tandem!C$3)-1)</f>
        <v>1.0000000007290943</v>
      </c>
    </row>
    <row r="21" spans="1:13" x14ac:dyDescent="0.2">
      <c r="A21">
        <v>0.36</v>
      </c>
      <c r="B21">
        <f t="shared" si="0"/>
        <v>0.74781237432456016</v>
      </c>
      <c r="C21" s="2">
        <f>B21*M$32</f>
        <v>0.8919450421903824</v>
      </c>
      <c r="D21" s="2">
        <f>tandem!C$6*tandem!C$3*LN((M$28-C21)/tandem!C$7+1)</f>
        <v>0.41946514586853645</v>
      </c>
      <c r="E21" s="2">
        <f>tandem!C$13*tandem!C$3*LN((M$29-C21)/tandem!C$14+1)</f>
        <v>0.6580129615027196</v>
      </c>
      <c r="F21" s="2">
        <f t="shared" si="1"/>
        <v>1.077478107371256</v>
      </c>
      <c r="G21" s="2">
        <f t="shared" si="2"/>
        <v>0.14337521663124372</v>
      </c>
      <c r="H21" s="2">
        <f>A21*M$31</f>
        <v>0.22925243025954961</v>
      </c>
      <c r="I21" s="2">
        <f>tandem!C$8-tandem!C$7*(EXP(G21/tandem!C$6/tandem!C$3)-1)</f>
        <v>0.99999746909071086</v>
      </c>
      <c r="J21" s="2">
        <f>tandem!C$15-tandem!C$14*(EXP(H21/tandem!C$13/tandem!C$3)-1)</f>
        <v>0.99999999801602435</v>
      </c>
      <c r="L21" t="s">
        <v>25</v>
      </c>
      <c r="M21" s="2">
        <f>Ip_1_mA-I0_1_mA*(EXP(tandem!E29/n_1)-1)</f>
        <v>0.99999918269779531</v>
      </c>
    </row>
    <row r="22" spans="1:13" x14ac:dyDescent="0.2">
      <c r="A22">
        <v>0.38</v>
      </c>
      <c r="B22">
        <f t="shared" si="0"/>
        <v>0.73096113700463139</v>
      </c>
      <c r="C22" s="2">
        <f>B22*M$32</f>
        <v>0.87184591291900637</v>
      </c>
      <c r="D22" s="2">
        <f>tandem!C$6*tandem!C$3*LN((M$28-C22)/tandem!C$7+1)</f>
        <v>0.4238835141952354</v>
      </c>
      <c r="E22" s="2">
        <f>tandem!C$13*tandem!C$3*LN((M$29-C22)/tandem!C$14+1)</f>
        <v>0.66243132982941855</v>
      </c>
      <c r="F22" s="2">
        <f t="shared" si="1"/>
        <v>1.0863148440246539</v>
      </c>
      <c r="G22" s="2">
        <f t="shared" si="2"/>
        <v>0.15134050644409061</v>
      </c>
      <c r="H22" s="2">
        <f>A22*M$31</f>
        <v>0.24198867638508018</v>
      </c>
      <c r="I22" s="2">
        <f>tandem!C$8-tandem!C$7*(EXP(G22/tandem!C$6/tandem!C$3)-1)</f>
        <v>0.99999655597195214</v>
      </c>
      <c r="J22" s="2">
        <f>tandem!C$15-tandem!C$14*(EXP(H22/tandem!C$13/tandem!C$3)-1)</f>
        <v>0.99999999357969305</v>
      </c>
      <c r="L22" t="s">
        <v>26</v>
      </c>
      <c r="M22" s="2">
        <f>Ip_2_mA-I0_2_mA*(EXP(-tandem!E29/n_2)-1)</f>
        <v>1.0000000050004878</v>
      </c>
    </row>
    <row r="23" spans="1:13" x14ac:dyDescent="0.2">
      <c r="A23">
        <v>0.4</v>
      </c>
      <c r="B23">
        <f t="shared" si="0"/>
        <v>0.71376948210973135</v>
      </c>
      <c r="C23" s="2">
        <f>B23*M$32</f>
        <v>0.85134075430297773</v>
      </c>
      <c r="D23" s="2">
        <f>tandem!C$6*tandem!C$3*LN((M$28-C23)/tandem!C$7+1)</f>
        <v>0.42772768011642598</v>
      </c>
      <c r="E23" s="2">
        <f>tandem!C$13*tandem!C$3*LN((M$29-C23)/tandem!C$14+1)</f>
        <v>0.66627549575060907</v>
      </c>
      <c r="F23" s="2">
        <f t="shared" si="1"/>
        <v>1.094003175867035</v>
      </c>
      <c r="G23" s="2">
        <f t="shared" si="2"/>
        <v>0.1593057962569375</v>
      </c>
      <c r="H23" s="2">
        <f>A23*M$31</f>
        <v>0.25472492251061069</v>
      </c>
      <c r="I23" s="2">
        <f>tandem!C$8-tandem!C$7*(EXP(G23/tandem!C$6/tandem!C$3)-1)</f>
        <v>0.99999531406158138</v>
      </c>
      <c r="J23" s="2">
        <f>tandem!C$15-tandem!C$14*(EXP(H23/tandem!C$13/tandem!C$3)-1)</f>
        <v>0.99999998632553577</v>
      </c>
    </row>
    <row r="24" spans="1:13" x14ac:dyDescent="0.2">
      <c r="A24">
        <v>0.42</v>
      </c>
      <c r="B24">
        <f t="shared" si="0"/>
        <v>0.69623053274867686</v>
      </c>
      <c r="C24" s="2">
        <f>B24*M$32</f>
        <v>0.83042136400544408</v>
      </c>
      <c r="D24" s="2">
        <f>tandem!C$6*tandem!C$3*LN((M$28-C24)/tandem!C$7+1)</f>
        <v>0.43113767409028336</v>
      </c>
      <c r="E24" s="2">
        <f>tandem!C$13*tandem!C$3*LN((M$29-C24)/tandem!C$14+1)</f>
        <v>0.6696854897244664</v>
      </c>
      <c r="F24" s="2">
        <f t="shared" si="1"/>
        <v>1.1008231638147499</v>
      </c>
      <c r="G24" s="2">
        <f t="shared" si="2"/>
        <v>0.16727108606978436</v>
      </c>
      <c r="H24" s="2">
        <f>A24*M$31</f>
        <v>0.26746116863614122</v>
      </c>
      <c r="I24" s="2">
        <f>tandem!C$8-tandem!C$7*(EXP(G24/tandem!C$6/tandem!C$3)-1)</f>
        <v>0.99999362496982402</v>
      </c>
      <c r="J24" s="2">
        <f>tandem!C$15-tandem!C$14*(EXP(H24/tandem!C$13/tandem!C$3)-1)</f>
        <v>0.99999997446375322</v>
      </c>
    </row>
    <row r="25" spans="1:13" x14ac:dyDescent="0.2">
      <c r="A25">
        <v>0.44</v>
      </c>
      <c r="B25">
        <f t="shared" si="0"/>
        <v>0.6783372731078674</v>
      </c>
      <c r="C25" s="2">
        <f>B25*M$32</f>
        <v>0.80907937399135743</v>
      </c>
      <c r="D25" s="2">
        <f>tandem!C$6*tandem!C$3*LN((M$28-C25)/tandem!C$7+1)</f>
        <v>0.43420788649096925</v>
      </c>
      <c r="E25" s="2">
        <f>tandem!C$13*tandem!C$3*LN((M$29-C25)/tandem!C$14+1)</f>
        <v>0.67275570212515234</v>
      </c>
      <c r="F25" s="2">
        <f t="shared" si="1"/>
        <v>1.1069635886161215</v>
      </c>
      <c r="G25" s="2">
        <f t="shared" si="2"/>
        <v>0.17523637588263122</v>
      </c>
      <c r="H25" s="2">
        <f>A25*M$31</f>
        <v>0.28019741476167176</v>
      </c>
      <c r="I25" s="2">
        <f>tandem!C$8-tandem!C$7*(EXP(G25/tandem!C$6/tandem!C$3)-1)</f>
        <v>0.99999132767765841</v>
      </c>
      <c r="J25" s="2">
        <f>tandem!C$15-tandem!C$14*(EXP(H25/tandem!C$13/tandem!C$3)-1)</f>
        <v>0.99999995506771877</v>
      </c>
    </row>
    <row r="26" spans="1:13" x14ac:dyDescent="0.2">
      <c r="A26">
        <v>0.46</v>
      </c>
      <c r="B26">
        <f t="shared" si="0"/>
        <v>0.66008254564486712</v>
      </c>
      <c r="C26" s="2">
        <f>B26*M$32</f>
        <v>0.78730624718014874</v>
      </c>
      <c r="D26" s="2">
        <f>tandem!C$6*tandem!C$3*LN((M$28-C26)/tandem!C$7+1)</f>
        <v>0.43700497194055721</v>
      </c>
      <c r="E26" s="2">
        <f>tandem!C$13*tandem!C$3*LN((M$29-C26)/tandem!C$14+1)</f>
        <v>0.67555278757474024</v>
      </c>
      <c r="F26" s="2">
        <f t="shared" si="1"/>
        <v>1.1125577595152976</v>
      </c>
      <c r="G26" s="2">
        <f t="shared" si="2"/>
        <v>0.18320166569547811</v>
      </c>
      <c r="H26" s="2">
        <f>A26*M$31</f>
        <v>0.2929336608872023</v>
      </c>
      <c r="I26" s="2">
        <f>tandem!C$8-tandem!C$7*(EXP(G26/tandem!C$6/tandem!C$3)-1)</f>
        <v>0.99998820318707282</v>
      </c>
      <c r="J26" s="2">
        <f>tandem!C$15-tandem!C$14*(EXP(H26/tandem!C$13/tandem!C$3)-1)</f>
        <v>0.99999992335189947</v>
      </c>
    </row>
    <row r="27" spans="1:13" x14ac:dyDescent="0.2">
      <c r="A27">
        <v>0.48</v>
      </c>
      <c r="B27">
        <f t="shared" si="0"/>
        <v>0.64145904822529087</v>
      </c>
      <c r="C27" s="2">
        <f>B27*M$32</f>
        <v>0.76509327403078098</v>
      </c>
      <c r="D27" s="2">
        <f>tandem!C$6*tandem!C$3*LN((M$28-C27)/tandem!C$7+1)</f>
        <v>0.43957775288081685</v>
      </c>
      <c r="E27" s="2">
        <f>tandem!C$13*tandem!C$3*LN((M$29-C27)/tandem!C$14+1)</f>
        <v>0.67812556851500005</v>
      </c>
      <c r="F27" s="2">
        <f t="shared" si="1"/>
        <v>1.117703321395817</v>
      </c>
      <c r="G27" s="2">
        <f t="shared" si="2"/>
        <v>0.19116695550832496</v>
      </c>
      <c r="H27" s="2">
        <f>A27*M$31</f>
        <v>0.30566990701273283</v>
      </c>
      <c r="I27" s="2">
        <f>tandem!C$8-tandem!C$7*(EXP(G27/tandem!C$6/tandem!C$3)-1)</f>
        <v>0.99998395364425663</v>
      </c>
      <c r="J27" s="2">
        <f>tandem!C$15-tandem!C$14*(EXP(H27/tandem!C$13/tandem!C$3)-1)</f>
        <v>0.9999998714911339</v>
      </c>
      <c r="L27" t="s">
        <v>50</v>
      </c>
      <c r="M27">
        <v>0.99999918269779531</v>
      </c>
    </row>
    <row r="28" spans="1:13" x14ac:dyDescent="0.2">
      <c r="A28">
        <v>0.5</v>
      </c>
      <c r="B28">
        <f t="shared" si="0"/>
        <v>0.62245933120185448</v>
      </c>
      <c r="C28" s="2">
        <f>B28*M$32</f>
        <v>0.74243156905781771</v>
      </c>
      <c r="D28" s="2">
        <f>tandem!C$6*tandem!C$3*LN((M$28-C28)/tandem!C$7+1)</f>
        <v>0.44196306283873421</v>
      </c>
      <c r="E28" s="2">
        <f>tandem!C$13*tandem!C$3*LN((M$29-C28)/tandem!C$14+1)</f>
        <v>0.68051087847291736</v>
      </c>
      <c r="F28" s="2">
        <f t="shared" si="1"/>
        <v>1.1224739413116516</v>
      </c>
      <c r="G28" s="2">
        <f t="shared" si="2"/>
        <v>0.19913224532117185</v>
      </c>
      <c r="H28" s="2">
        <f>A28*M$31</f>
        <v>0.31840615313826337</v>
      </c>
      <c r="I28" s="2">
        <f>tandem!C$8-tandem!C$7*(EXP(G28/tandem!C$6/tandem!C$3)-1)</f>
        <v>0.99997817394556598</v>
      </c>
      <c r="J28" s="2">
        <f>tandem!C$15-tandem!C$14*(EXP(H28/tandem!C$13/tandem!C$3)-1)</f>
        <v>0.9999997866899506</v>
      </c>
      <c r="L28" t="s">
        <v>51</v>
      </c>
      <c r="M28">
        <v>0.99999999500050007</v>
      </c>
    </row>
    <row r="29" spans="1:13" x14ac:dyDescent="0.2">
      <c r="A29">
        <v>0.52</v>
      </c>
      <c r="B29">
        <f t="shared" si="0"/>
        <v>0.6030757944344155</v>
      </c>
      <c r="C29" s="2">
        <f>B29*M$32</f>
        <v>0.71931206727710972</v>
      </c>
      <c r="D29" s="2">
        <f>tandem!C$6*tandem!C$3*LN((M$28-C29)/tandem!C$7+1)</f>
        <v>0.4441893764599007</v>
      </c>
      <c r="E29" s="2">
        <f>tandem!C$13*tandem!C$3*LN((M$29-C29)/tandem!C$14+1)</f>
        <v>0.68273719209408379</v>
      </c>
      <c r="F29" s="2">
        <f t="shared" si="1"/>
        <v>1.1269265685539844</v>
      </c>
      <c r="G29" s="2">
        <f t="shared" si="2"/>
        <v>0.20709753513401874</v>
      </c>
      <c r="H29" s="2">
        <f>A29*M$31</f>
        <v>0.33114239926379391</v>
      </c>
      <c r="I29" s="2">
        <f>tandem!C$8-tandem!C$7*(EXP(G29/tandem!C$6/tandem!C$3)-1)</f>
        <v>0.99997031311949569</v>
      </c>
      <c r="J29" s="2">
        <f>tandem!C$15-tandem!C$14*(EXP(H29/tandem!C$13/tandem!C$3)-1)</f>
        <v>0.99999964802557462</v>
      </c>
      <c r="L29" t="s">
        <v>52</v>
      </c>
      <c r="M29">
        <v>1.0000000049994999</v>
      </c>
    </row>
    <row r="30" spans="1:13" x14ac:dyDescent="0.2">
      <c r="A30">
        <v>0.54</v>
      </c>
      <c r="B30">
        <f t="shared" si="0"/>
        <v>0.58330068424981629</v>
      </c>
      <c r="C30" s="2">
        <f>B30*M$32</f>
        <v>0.69572552057968029</v>
      </c>
      <c r="D30" s="2">
        <f>tandem!C$6*tandem!C$3*LN((M$28-C30)/tandem!C$7+1)</f>
        <v>0.44627916180840221</v>
      </c>
      <c r="E30" s="2">
        <f>tandem!C$13*tandem!C$3*LN((M$29-C30)/tandem!C$14+1)</f>
        <v>0.68482697744258525</v>
      </c>
      <c r="F30" s="2">
        <f t="shared" si="1"/>
        <v>1.1311061392509876</v>
      </c>
      <c r="G30" s="2">
        <f t="shared" si="2"/>
        <v>0.21506282494686563</v>
      </c>
      <c r="H30" s="2">
        <f>A30*M$31</f>
        <v>0.34387864538932444</v>
      </c>
      <c r="I30" s="2">
        <f>tandem!C$8-tandem!C$7*(EXP(G30/tandem!C$6/tandem!C$3)-1)</f>
        <v>0.99995962180325026</v>
      </c>
      <c r="J30" s="2">
        <f>tandem!C$15-tandem!C$14*(EXP(H30/tandem!C$13/tandem!C$3)-1)</f>
        <v>0.99999942128570618</v>
      </c>
      <c r="L30" t="s">
        <v>4</v>
      </c>
      <c r="M30" s="2">
        <v>0.3982644906423437</v>
      </c>
    </row>
    <row r="31" spans="1:13" x14ac:dyDescent="0.2">
      <c r="A31">
        <v>0.56000000000000005</v>
      </c>
      <c r="B31">
        <f t="shared" si="0"/>
        <v>0.56312609034031147</v>
      </c>
      <c r="C31" s="2">
        <f>B31*M$32</f>
        <v>0.67166249403235911</v>
      </c>
      <c r="D31" s="2">
        <f>tandem!C$6*tandem!C$3*LN((M$28-C31)/tandem!C$7+1)</f>
        <v>0.44825045931589114</v>
      </c>
      <c r="E31" s="2">
        <f>tandem!C$13*tandem!C$3*LN((M$29-C31)/tandem!C$14+1)</f>
        <v>0.68679827495007417</v>
      </c>
      <c r="F31" s="2">
        <f t="shared" si="1"/>
        <v>1.1350487342659652</v>
      </c>
      <c r="G31" s="2">
        <f t="shared" si="2"/>
        <v>0.22302811475971249</v>
      </c>
      <c r="H31" s="2">
        <f>A31*M$31</f>
        <v>0.35661489151485498</v>
      </c>
      <c r="I31" s="2">
        <f>tandem!C$8-tandem!C$7*(EXP(G31/tandem!C$6/tandem!C$3)-1)</f>
        <v>0.99994508080691735</v>
      </c>
      <c r="J31" s="2">
        <f>tandem!C$15-tandem!C$14*(EXP(H31/tandem!C$13/tandem!C$3)-1)</f>
        <v>0.99999905052740867</v>
      </c>
      <c r="L31" t="s">
        <v>19</v>
      </c>
      <c r="M31" s="2">
        <v>0.63681230627652674</v>
      </c>
    </row>
    <row r="32" spans="1:13" x14ac:dyDescent="0.2">
      <c r="A32">
        <v>0.57999999999999996</v>
      </c>
      <c r="B32">
        <f t="shared" si="0"/>
        <v>0.54254394259933914</v>
      </c>
      <c r="C32" s="2">
        <f>B32*M$32</f>
        <v>0.64711336210368287</v>
      </c>
      <c r="D32" s="2">
        <f>tandem!C$6*tandem!C$3*LN((M$28-C32)/tandem!C$7+1)</f>
        <v>0.45011797374569623</v>
      </c>
      <c r="E32" s="2">
        <f>tandem!C$13*tandem!C$3*LN((M$29-C32)/tandem!C$14+1)</f>
        <v>0.68866578937987932</v>
      </c>
      <c r="F32" s="2">
        <f t="shared" si="1"/>
        <v>1.1387837631255755</v>
      </c>
      <c r="G32" s="2">
        <f t="shared" si="2"/>
        <v>0.23099340457255935</v>
      </c>
      <c r="H32" s="2">
        <f>A32*M$31</f>
        <v>0.36935113764038546</v>
      </c>
      <c r="I32" s="2">
        <f>tandem!C$8-tandem!C$7*(EXP(G32/tandem!C$6/tandem!C$3)-1)</f>
        <v>0.99992530395535884</v>
      </c>
      <c r="J32" s="2">
        <f>tandem!C$15-tandem!C$14*(EXP(H32/tandem!C$13/tandem!C$3)-1)</f>
        <v>0.99999844427445406</v>
      </c>
      <c r="L32" t="s">
        <v>24</v>
      </c>
      <c r="M32">
        <v>1.1927390784299416</v>
      </c>
    </row>
    <row r="33" spans="1:10" x14ac:dyDescent="0.2">
      <c r="A33">
        <v>0.6</v>
      </c>
      <c r="B33">
        <f t="shared" si="0"/>
        <v>0.52154600789337047</v>
      </c>
      <c r="C33" s="2">
        <f>B33*M$32</f>
        <v>0.6220683048135538</v>
      </c>
      <c r="D33" s="2">
        <f>tandem!C$6*tandem!C$3*LN((M$28-C33)/tandem!C$7+1)</f>
        <v>0.4518938489844293</v>
      </c>
      <c r="E33" s="2">
        <f>tandem!C$13*tandem!C$3*LN((M$29-C33)/tandem!C$14+1)</f>
        <v>0.69044166461861245</v>
      </c>
      <c r="F33" s="2">
        <f t="shared" si="1"/>
        <v>1.1423355136030418</v>
      </c>
      <c r="G33" s="2">
        <f t="shared" si="2"/>
        <v>0.23895869438540621</v>
      </c>
      <c r="H33" s="2">
        <f>A33*M$31</f>
        <v>0.38208738376591606</v>
      </c>
      <c r="I33" s="2">
        <f>tandem!C$8-tandem!C$7*(EXP(G33/tandem!C$6/tandem!C$3)-1)</f>
        <v>0.999898405945854</v>
      </c>
      <c r="J33" s="2">
        <f>tandem!C$15-tandem!C$14*(EXP(H33/tandem!C$13/tandem!C$3)-1)</f>
        <v>0.99999745294763176</v>
      </c>
    </row>
    <row r="34" spans="1:10" x14ac:dyDescent="0.2">
      <c r="A34">
        <v>0.62</v>
      </c>
      <c r="B34">
        <f t="shared" si="0"/>
        <v>0.5001238867685468</v>
      </c>
      <c r="C34" s="2">
        <f>B34*M$32</f>
        <v>0.59651730380511703</v>
      </c>
      <c r="D34" s="2">
        <f>tandem!C$6*tandem!C$3*LN((M$28-C34)/tandem!C$7+1)</f>
        <v>0.45358823016885669</v>
      </c>
      <c r="E34" s="2">
        <f>tandem!C$13*tandem!C$3*LN((M$29-C34)/tandem!C$14+1)</f>
        <v>0.69213604580303989</v>
      </c>
      <c r="F34" s="2">
        <f t="shared" si="1"/>
        <v>1.1457242759718966</v>
      </c>
      <c r="G34" s="2">
        <f t="shared" si="2"/>
        <v>0.24692398419825309</v>
      </c>
      <c r="H34" s="2">
        <f>A34*M$31</f>
        <v>0.39482362989144659</v>
      </c>
      <c r="I34" s="2">
        <f>tandem!C$8-tandem!C$7*(EXP(G34/tandem!C$6/tandem!C$3)-1)</f>
        <v>0.99986182262453116</v>
      </c>
      <c r="J34" s="2">
        <f>tandem!C$15-tandem!C$14*(EXP(H34/tandem!C$13/tandem!C$3)-1)</f>
        <v>0.99999583195945951</v>
      </c>
    </row>
    <row r="35" spans="1:10" x14ac:dyDescent="0.2">
      <c r="A35">
        <v>0.64</v>
      </c>
      <c r="B35">
        <f t="shared" ref="B35:B53" si="4">1-(EXP(A35)-1)/(EXP(1)-1)</f>
        <v>0.47826901009078626</v>
      </c>
      <c r="C35" s="2">
        <f>B35*M$32</f>
        <v>0.57045013833728486</v>
      </c>
      <c r="D35" s="2">
        <f>tandem!C$6*tandem!C$3*LN((M$28-C35)/tandem!C$7+1)</f>
        <v>0.45520967956437569</v>
      </c>
      <c r="E35" s="2">
        <f>tandem!C$13*tandem!C$3*LN((M$29-C35)/tandem!C$14+1)</f>
        <v>0.69375749519855889</v>
      </c>
      <c r="F35" s="2">
        <f t="shared" si="1"/>
        <v>1.1489671747629346</v>
      </c>
      <c r="G35" s="2">
        <f t="shared" si="2"/>
        <v>0.25488927401109995</v>
      </c>
      <c r="H35" s="2">
        <f>A35*M$31</f>
        <v>0.40755987601697713</v>
      </c>
      <c r="I35" s="2">
        <f>tandem!C$8-tandem!C$7*(EXP(G35/tandem!C$6/tandem!C$3)-1)</f>
        <v>0.99981206654876031</v>
      </c>
      <c r="J35" s="2">
        <f>tandem!C$15-tandem!C$14*(EXP(H35/tandem!C$13/tandem!C$3)-1)</f>
        <v>0.9999931813677525</v>
      </c>
    </row>
    <row r="36" spans="1:10" x14ac:dyDescent="0.2">
      <c r="A36">
        <v>0.66</v>
      </c>
      <c r="B36">
        <f t="shared" si="4"/>
        <v>0.45597263561801538</v>
      </c>
      <c r="C36" s="2">
        <f>B36*M$32</f>
        <v>0.5438563811963032</v>
      </c>
      <c r="D36" s="2">
        <f>tandem!C$6*tandem!C$3*LN((M$28-C36)/tandem!C$7+1)</f>
        <v>0.45676548960485397</v>
      </c>
      <c r="E36" s="2">
        <f>tandem!C$13*tandem!C$3*LN((M$29-C36)/tandem!C$14+1)</f>
        <v>0.69531330523903712</v>
      </c>
      <c r="F36" s="2">
        <f t="shared" ref="F36:F53" si="5">D36+E36</f>
        <v>1.1520787948438911</v>
      </c>
      <c r="G36" s="2">
        <f t="shared" si="2"/>
        <v>0.26285456382394684</v>
      </c>
      <c r="H36" s="2">
        <f>A36*M$31</f>
        <v>0.42029612214250767</v>
      </c>
      <c r="I36" s="2">
        <f>tandem!C$8-tandem!C$7*(EXP(G36/tandem!C$6/tandem!C$3)-1)</f>
        <v>0.99974439453357411</v>
      </c>
      <c r="J36" s="2">
        <f>tandem!C$15-tandem!C$14*(EXP(H36/tandem!C$13/tandem!C$3)-1)</f>
        <v>0.99998884719893</v>
      </c>
    </row>
    <row r="37" spans="1:10" x14ac:dyDescent="0.2">
      <c r="A37">
        <v>0.68</v>
      </c>
      <c r="B37">
        <f t="shared" si="4"/>
        <v>0.43322584450315627</v>
      </c>
      <c r="C37" s="2">
        <f>B37*M$32</f>
        <v>0.51672539452472777</v>
      </c>
      <c r="D37" s="2">
        <f>tandem!C$6*tandem!C$3*LN((M$28-C37)/tandem!C$7+1)</f>
        <v>0.45826192217709605</v>
      </c>
      <c r="E37" s="2">
        <f>tandem!C$13*tandem!C$3*LN((M$29-C37)/tandem!C$14+1)</f>
        <v>0.69680973781127908</v>
      </c>
      <c r="F37" s="2">
        <f t="shared" si="5"/>
        <v>1.155071659988375</v>
      </c>
      <c r="G37" s="2">
        <f t="shared" si="2"/>
        <v>0.27081985363679373</v>
      </c>
      <c r="H37" s="2">
        <f>A37*M$31</f>
        <v>0.4330323682680382</v>
      </c>
      <c r="I37" s="2">
        <f>tandem!C$8-tandem!C$7*(EXP(G37/tandem!C$6/tandem!C$3)-1)</f>
        <v>0.99965235548973075</v>
      </c>
      <c r="J37" s="2">
        <f>tandem!C$15-tandem!C$14*(EXP(H37/tandem!C$13/tandem!C$3)-1)</f>
        <v>0.99998176009481954</v>
      </c>
    </row>
    <row r="38" spans="1:10" x14ac:dyDescent="0.2">
      <c r="A38">
        <v>0.70000000000000007</v>
      </c>
      <c r="B38">
        <f t="shared" si="4"/>
        <v>0.41001953772646837</v>
      </c>
      <c r="C38" s="2">
        <f>B38*M$32</f>
        <v>0.48904632556613858</v>
      </c>
      <c r="D38" s="2">
        <f>tandem!C$6*tandem!C$3*LN((M$28-C38)/tandem!C$7+1)</f>
        <v>0.45970439406789332</v>
      </c>
      <c r="E38" s="2">
        <f>tandem!C$13*tandem!C$3*LN((M$29-C38)/tandem!C$14+1)</f>
        <v>0.69825220970207647</v>
      </c>
      <c r="F38" s="2">
        <f t="shared" si="5"/>
        <v>1.1579566037699698</v>
      </c>
      <c r="G38" s="2">
        <f t="shared" si="2"/>
        <v>0.27878514344964062</v>
      </c>
      <c r="H38" s="2">
        <f>A38*M$31</f>
        <v>0.44576861439356874</v>
      </c>
      <c r="I38" s="2">
        <f>tandem!C$8-tandem!C$7*(EXP(G38/tandem!C$6/tandem!C$3)-1)</f>
        <v>0.99952717544937997</v>
      </c>
      <c r="J38" s="2">
        <f>tandem!C$15-tandem!C$14*(EXP(H38/tandem!C$13/tandem!C$3)-1)</f>
        <v>0.99997017147270328</v>
      </c>
    </row>
    <row r="39" spans="1:10" x14ac:dyDescent="0.2">
      <c r="A39">
        <v>0.72</v>
      </c>
      <c r="B39">
        <f t="shared" si="4"/>
        <v>0.3863444324558194</v>
      </c>
      <c r="C39" s="2">
        <f>B39*M$32</f>
        <v>0.46080810232389285</v>
      </c>
      <c r="D39" s="2">
        <f>tandem!C$6*tandem!C$3*LN((M$28-C39)/tandem!C$7+1)</f>
        <v>0.46109762248555813</v>
      </c>
      <c r="E39" s="2">
        <f>tandem!C$13*tandem!C$3*LN((M$29-C39)/tandem!C$14+1)</f>
        <v>0.69964543811974123</v>
      </c>
      <c r="F39" s="2">
        <f t="shared" si="5"/>
        <v>1.1607430606052993</v>
      </c>
      <c r="G39" s="2">
        <f t="shared" si="2"/>
        <v>0.28675043326248745</v>
      </c>
      <c r="H39" s="2">
        <f>A39*M$31</f>
        <v>0.45850486051909922</v>
      </c>
      <c r="I39" s="2">
        <f>tandem!C$8-tandem!C$7*(EXP(G39/tandem!C$6/tandem!C$3)-1)</f>
        <v>0.99935692115459551</v>
      </c>
      <c r="J39" s="2">
        <f>tandem!C$15-tandem!C$14*(EXP(H39/tandem!C$13/tandem!C$3)-1)</f>
        <v>0.99995122210206322</v>
      </c>
    </row>
    <row r="40" spans="1:10" x14ac:dyDescent="0.2">
      <c r="A40">
        <v>0.74</v>
      </c>
      <c r="B40">
        <f t="shared" si="4"/>
        <v>0.36219105833342879</v>
      </c>
      <c r="C40" s="2">
        <f>B40*M$32</f>
        <v>0.43199942913217909</v>
      </c>
      <c r="D40" s="2">
        <f>tandem!C$6*tandem!C$3*LN((M$28-C40)/tandem!C$7+1)</f>
        <v>0.46244574054637771</v>
      </c>
      <c r="E40" s="2">
        <f>tandem!C$13*tandem!C$3*LN((M$29-C40)/tandem!C$14+1)</f>
        <v>0.70099355618056092</v>
      </c>
      <c r="F40" s="2">
        <f t="shared" si="5"/>
        <v>1.1634392967269387</v>
      </c>
      <c r="G40" s="2">
        <f t="shared" si="2"/>
        <v>0.29471572307533433</v>
      </c>
      <c r="H40" s="2">
        <f>A40*M$31</f>
        <v>0.47124110664462976</v>
      </c>
      <c r="I40" s="2">
        <f>tandem!C$8-tandem!C$7*(EXP(G40/tandem!C$6/tandem!C$3)-1)</f>
        <v>0.99912536247470252</v>
      </c>
      <c r="J40" s="2">
        <f>tandem!C$15-tandem!C$14*(EXP(H40/tandem!C$13/tandem!C$3)-1)</f>
        <v>0.99992023665409102</v>
      </c>
    </row>
    <row r="41" spans="1:10" x14ac:dyDescent="0.2">
      <c r="A41">
        <v>0.76</v>
      </c>
      <c r="B41">
        <f t="shared" si="4"/>
        <v>0.33754975368759832</v>
      </c>
      <c r="C41" s="2">
        <f>B41*M$32</f>
        <v>0.40260878213759982</v>
      </c>
      <c r="D41" s="2">
        <f>tandem!C$6*tandem!C$3*LN((M$28-C41)/tandem!C$7+1)</f>
        <v>0.46375238987097828</v>
      </c>
      <c r="E41" s="2">
        <f>tandem!C$13*tandem!C$3*LN((M$29-C41)/tandem!C$14+1)</f>
        <v>0.70230020550516148</v>
      </c>
      <c r="F41" s="2">
        <f t="shared" si="5"/>
        <v>1.1660525953761398</v>
      </c>
      <c r="G41" s="2">
        <f t="shared" si="2"/>
        <v>0.30268101288818122</v>
      </c>
      <c r="H41" s="2">
        <f>A41*M$31</f>
        <v>0.48397735277016035</v>
      </c>
      <c r="I41" s="2">
        <f>tandem!C$8-tandem!C$7*(EXP(G41/tandem!C$6/tandem!C$3)-1)</f>
        <v>0.99881042520805863</v>
      </c>
      <c r="J41" s="2">
        <f>tandem!C$15-tandem!C$14*(EXP(H41/tandem!C$13/tandem!C$3)-1)</f>
        <v>0.99986957017000144</v>
      </c>
    </row>
    <row r="42" spans="1:10" x14ac:dyDescent="0.2">
      <c r="A42">
        <v>0.78</v>
      </c>
      <c r="B42">
        <f t="shared" si="4"/>
        <v>0.31241066166791442</v>
      </c>
      <c r="C42" s="2">
        <f>B42*M$32</f>
        <v>0.37262440468947655</v>
      </c>
      <c r="D42" s="2">
        <f>tandem!C$6*tandem!C$3*LN((M$28-C42)/tandem!C$7+1)</f>
        <v>0.46502079552798659</v>
      </c>
      <c r="E42" s="2">
        <f>tandem!C$13*tandem!C$3*LN((M$29-C42)/tandem!C$14+1)</f>
        <v>0.70356861116216973</v>
      </c>
      <c r="F42" s="2">
        <f t="shared" si="5"/>
        <v>1.1685894066901563</v>
      </c>
      <c r="G42" s="2">
        <f t="shared" si="2"/>
        <v>0.31064630270102811</v>
      </c>
      <c r="H42" s="2">
        <f>A42*M$31</f>
        <v>0.49671359889569089</v>
      </c>
      <c r="I42" s="2">
        <f>tandem!C$8-tandem!C$7*(EXP(G42/tandem!C$6/tandem!C$3)-1)</f>
        <v>0.99838208677580065</v>
      </c>
      <c r="J42" s="2">
        <f>tandem!C$15-tandem!C$14*(EXP(H42/tandem!C$13/tandem!C$3)-1)</f>
        <v>0.99978672184028561</v>
      </c>
    </row>
    <row r="43" spans="1:10" x14ac:dyDescent="0.2">
      <c r="A43">
        <v>0.8</v>
      </c>
      <c r="B43">
        <f t="shared" si="4"/>
        <v>0.28676372630237679</v>
      </c>
      <c r="C43" s="2">
        <f>B43*M$32</f>
        <v>0.34203430263703288</v>
      </c>
      <c r="D43" s="2">
        <f>tandem!C$6*tandem!C$3*LN((M$28-C43)/tandem!C$7+1)</f>
        <v>0.46625382721551645</v>
      </c>
      <c r="E43" s="2">
        <f>tandem!C$13*tandem!C$3*LN((M$29-C43)/tandem!C$14+1)</f>
        <v>0.70480164284969948</v>
      </c>
      <c r="F43" s="2">
        <f t="shared" si="5"/>
        <v>1.171055470065216</v>
      </c>
      <c r="G43" s="2">
        <f t="shared" si="2"/>
        <v>0.318611592513875</v>
      </c>
      <c r="H43" s="2">
        <f>A43*M$31</f>
        <v>0.50944984502122137</v>
      </c>
      <c r="I43" s="2">
        <f>tandem!C$8-tandem!C$7*(EXP(G43/tandem!C$6/tandem!C$3)-1)</f>
        <v>0.99779951420665247</v>
      </c>
      <c r="J43" s="2">
        <f>tandem!C$15-tandem!C$14*(EXP(H43/tandem!C$13/tandem!C$3)-1)</f>
        <v>0.99965125071257566</v>
      </c>
    </row>
    <row r="44" spans="1:10" x14ac:dyDescent="0.2">
      <c r="A44">
        <v>0.82000000000000006</v>
      </c>
      <c r="B44">
        <f t="shared" si="4"/>
        <v>0.26059868847487599</v>
      </c>
      <c r="C44" s="2">
        <f>B44*M$32</f>
        <v>0.31082623953157507</v>
      </c>
      <c r="D44" s="2">
        <f>tandem!C$6*tandem!C$3*LN((M$28-C44)/tandem!C$7+1)</f>
        <v>0.46745404960599624</v>
      </c>
      <c r="E44" s="2">
        <f>tandem!C$13*tandem!C$3*LN((M$29-C44)/tandem!C$14+1)</f>
        <v>0.70600186524017927</v>
      </c>
      <c r="F44" s="2">
        <f t="shared" si="5"/>
        <v>1.1734559148461754</v>
      </c>
      <c r="G44" s="2">
        <f t="shared" si="2"/>
        <v>0.32657688232672188</v>
      </c>
      <c r="H44" s="2">
        <f>A44*M$31</f>
        <v>0.52218609114675196</v>
      </c>
      <c r="I44" s="2">
        <f>tandem!C$8-tandem!C$7*(EXP(G44/tandem!C$6/tandem!C$3)-1)</f>
        <v>0.99700717158043795</v>
      </c>
      <c r="J44" s="2">
        <f>tandem!C$15-tandem!C$14*(EXP(H44/tandem!C$13/tandem!C$3)-1)</f>
        <v>0.99942973234876631</v>
      </c>
    </row>
    <row r="45" spans="1:10" x14ac:dyDescent="0.2">
      <c r="A45">
        <v>0.84</v>
      </c>
      <c r="B45">
        <f t="shared" si="4"/>
        <v>0.23390508182140923</v>
      </c>
      <c r="C45" s="2">
        <f>B45*M$32</f>
        <v>0.27898773173174773</v>
      </c>
      <c r="D45" s="2">
        <f>tandem!C$6*tandem!C$3*LN((M$28-C45)/tandem!C$7+1)</f>
        <v>0.46862376407906814</v>
      </c>
      <c r="E45" s="2">
        <f>tandem!C$13*tandem!C$3*LN((M$29-C45)/tandem!C$14+1)</f>
        <v>0.70717157971325129</v>
      </c>
      <c r="F45" s="2">
        <f t="shared" si="5"/>
        <v>1.1757953437923194</v>
      </c>
      <c r="G45" s="2">
        <f t="shared" si="2"/>
        <v>0.33454217213956872</v>
      </c>
      <c r="H45" s="2">
        <f>A45*M$31</f>
        <v>0.53492233727228244</v>
      </c>
      <c r="I45" s="2">
        <f>tandem!C$8-tandem!C$7*(EXP(G45/tandem!C$6/tandem!C$3)-1)</f>
        <v>0.99592952585771788</v>
      </c>
      <c r="J45" s="2">
        <f>tandem!C$15-tandem!C$14*(EXP(H45/tandem!C$13/tandem!C$3)-1)</f>
        <v>0.99906751210055333</v>
      </c>
    </row>
    <row r="46" spans="1:10" x14ac:dyDescent="0.2">
      <c r="A46">
        <v>0.86</v>
      </c>
      <c r="B46">
        <f t="shared" si="4"/>
        <v>0.20667222854339495</v>
      </c>
      <c r="C46" s="2">
        <f>B46*M$32</f>
        <v>0.24650604340991117</v>
      </c>
      <c r="D46" s="2">
        <f>tandem!C$6*tandem!C$3*LN((M$28-C46)/tandem!C$7+1)</f>
        <v>0.46976504355201892</v>
      </c>
      <c r="E46" s="2">
        <f>tandem!C$13*tandem!C$3*LN((M$29-C46)/tandem!C$14+1)</f>
        <v>0.70831285918620213</v>
      </c>
      <c r="F46" s="2">
        <f t="shared" si="5"/>
        <v>1.1780779027382211</v>
      </c>
      <c r="G46" s="2">
        <f t="shared" si="2"/>
        <v>0.3425074619524156</v>
      </c>
      <c r="H46" s="2">
        <f>A46*M$31</f>
        <v>0.54765858339781304</v>
      </c>
      <c r="I46" s="2">
        <f>tandem!C$8-tandem!C$7*(EXP(G46/tandem!C$6/tandem!C$3)-1)</f>
        <v>0.99446384640885999</v>
      </c>
      <c r="J46" s="2">
        <f>tandem!C$15-tandem!C$14*(EXP(H46/tandem!C$13/tandem!C$3)-1)</f>
        <v>0.99847522031056724</v>
      </c>
    </row>
    <row r="47" spans="1:10" x14ac:dyDescent="0.2">
      <c r="A47">
        <v>0.88</v>
      </c>
      <c r="B47">
        <f t="shared" si="4"/>
        <v>0.17888923513641275</v>
      </c>
      <c r="C47" s="2">
        <f>B47*M$32</f>
        <v>0.21336818145764208</v>
      </c>
      <c r="D47" s="2">
        <f>tandem!C$6*tandem!C$3*LN((M$28-C47)/tandem!C$7+1)</f>
        <v>0.47087976173396873</v>
      </c>
      <c r="E47" s="2">
        <f>tandem!C$13*tandem!C$3*LN((M$29-C47)/tandem!C$14+1)</f>
        <v>0.70942757736815187</v>
      </c>
      <c r="F47" s="2">
        <f t="shared" si="5"/>
        <v>1.1803073391021206</v>
      </c>
      <c r="G47" s="2">
        <f t="shared" si="2"/>
        <v>0.35047275176526244</v>
      </c>
      <c r="H47" s="2">
        <f>A47*M$31</f>
        <v>0.56039482952334352</v>
      </c>
      <c r="I47" s="2">
        <f>tandem!C$8-tandem!C$7*(EXP(G47/tandem!C$6/tandem!C$3)-1)</f>
        <v>0.99247041183058116</v>
      </c>
      <c r="J47" s="2">
        <f>tandem!C$15-tandem!C$14*(EXP(H47/tandem!C$13/tandem!C$3)-1)</f>
        <v>0.99750672236983706</v>
      </c>
    </row>
    <row r="48" spans="1:10" x14ac:dyDescent="0.2">
      <c r="A48">
        <v>0.9</v>
      </c>
      <c r="B48">
        <f t="shared" si="4"/>
        <v>0.15054498803265481</v>
      </c>
      <c r="C48" s="2">
        <f>B48*M$32</f>
        <v>0.17956089028831529</v>
      </c>
      <c r="D48" s="2">
        <f>tandem!C$6*tandem!C$3*LN((M$28-C48)/tandem!C$7+1)</f>
        <v>0.47196961784195529</v>
      </c>
      <c r="E48" s="2">
        <f>tandem!C$13*tandem!C$3*LN((M$29-C48)/tandem!C$14+1)</f>
        <v>0.71051743347613838</v>
      </c>
      <c r="F48" s="2">
        <f t="shared" si="5"/>
        <v>1.1824870513180936</v>
      </c>
      <c r="G48" s="2">
        <f t="shared" si="2"/>
        <v>0.35843804157810932</v>
      </c>
      <c r="H48" s="2">
        <f>A48*M$31</f>
        <v>0.57313107564887411</v>
      </c>
      <c r="I48" s="2">
        <f>tandem!C$8-tandem!C$7*(EXP(G48/tandem!C$6/tandem!C$3)-1)</f>
        <v>0.98975919047793515</v>
      </c>
      <c r="J48" s="2">
        <f>tandem!C$15-tandem!C$14*(EXP(H48/tandem!C$13/tandem!C$3)-1)</f>
        <v>0.99592306330675839</v>
      </c>
    </row>
    <row r="49" spans="1:10" x14ac:dyDescent="0.2">
      <c r="A49">
        <v>0.92</v>
      </c>
      <c r="B49">
        <f t="shared" si="4"/>
        <v>0.12162814915535169</v>
      </c>
      <c r="C49" s="2">
        <f>B49*M$32</f>
        <v>0.14507064653469368</v>
      </c>
      <c r="D49" s="2">
        <f>tandem!C$6*tandem!C$3*LN((M$28-C49)/tandem!C$7+1)</f>
        <v>0.47303615759833983</v>
      </c>
      <c r="E49" s="2">
        <f>tandem!C$13*tandem!C$3*LN((M$29-C49)/tandem!C$14+1)</f>
        <v>0.71158397323252298</v>
      </c>
      <c r="F49" s="2">
        <f t="shared" si="5"/>
        <v>1.1846201308308628</v>
      </c>
      <c r="G49" s="2">
        <f t="shared" si="2"/>
        <v>0.36640333139095621</v>
      </c>
      <c r="H49" s="2">
        <f>A49*M$31</f>
        <v>0.58586732177440459</v>
      </c>
      <c r="I49" s="2">
        <f>tandem!C$8-tandem!C$7*(EXP(G49/tandem!C$6/tandem!C$3)-1)</f>
        <v>0.98607172498338658</v>
      </c>
      <c r="J49" s="2">
        <f>tandem!C$15-tandem!C$14*(EXP(H49/tandem!C$13/tandem!C$3)-1)</f>
        <v>0.99333351105001333</v>
      </c>
    </row>
    <row r="50" spans="1:10" x14ac:dyDescent="0.2">
      <c r="A50">
        <v>0.94000000000000006</v>
      </c>
      <c r="B50">
        <f t="shared" si="4"/>
        <v>9.2127151383389227E-2</v>
      </c>
      <c r="C50" s="2">
        <f>B50*M$32</f>
        <v>0.10988365363939939</v>
      </c>
      <c r="D50" s="2">
        <f>tandem!C$6*tandem!C$3*LN((M$28-C50)/tandem!C$7+1)</f>
        <v>0.4740807911613702</v>
      </c>
      <c r="E50" s="2">
        <f>tandem!C$13*tandem!C$3*LN((M$29-C50)/tandem!C$14+1)</f>
        <v>0.71262860679555329</v>
      </c>
      <c r="F50" s="2">
        <f t="shared" si="5"/>
        <v>1.1867093979569234</v>
      </c>
      <c r="G50" s="2">
        <f t="shared" si="2"/>
        <v>0.3743686212038031</v>
      </c>
      <c r="H50" s="2">
        <f>A50*M$31</f>
        <v>0.59860356789993519</v>
      </c>
      <c r="I50" s="2">
        <f>tandem!C$8-tandem!C$7*(EXP(G50/tandem!C$6/tandem!C$3)-1)</f>
        <v>0.98105649383665028</v>
      </c>
      <c r="J50" s="2">
        <f>tandem!C$15-tandem!C$14*(EXP(H50/tandem!C$13/tandem!C$3)-1)</f>
        <v>0.98909915212342847</v>
      </c>
    </row>
    <row r="51" spans="1:10" x14ac:dyDescent="0.2">
      <c r="A51">
        <v>0.96</v>
      </c>
      <c r="B51">
        <f t="shared" si="4"/>
        <v>6.2030193924306976E-2</v>
      </c>
      <c r="C51" s="2">
        <f>B51*M$32</f>
        <v>7.3985836336108474E-2</v>
      </c>
      <c r="D51" s="2">
        <f>tandem!C$6*tandem!C$3*LN((M$28-C51)/tandem!C$7+1)</f>
        <v>0.47510480851121001</v>
      </c>
      <c r="E51" s="2">
        <f>tandem!C$13*tandem!C$3*LN((M$29-C51)/tandem!C$14+1)</f>
        <v>0.7136526241453931</v>
      </c>
      <c r="F51" s="2">
        <f t="shared" si="5"/>
        <v>1.1887574326566031</v>
      </c>
      <c r="G51" s="2">
        <f t="shared" si="2"/>
        <v>0.38233391101664993</v>
      </c>
      <c r="H51" s="2">
        <f>A51*M$31</f>
        <v>0.61133981402546567</v>
      </c>
      <c r="I51" s="2">
        <f>tandem!C$8-tandem!C$7*(EXP(G51/tandem!C$6/tandem!C$3)-1)</f>
        <v>0.97423540127527497</v>
      </c>
      <c r="J51" s="2">
        <f>tandem!C$15-tandem!C$14*(EXP(H51/tandem!C$13/tandem!C$3)-1)</f>
        <v>0.98217525418993579</v>
      </c>
    </row>
    <row r="52" spans="1:10" x14ac:dyDescent="0.2">
      <c r="A52">
        <v>0.98</v>
      </c>
      <c r="B52">
        <f t="shared" si="4"/>
        <v>3.1325237593822997E-2</v>
      </c>
      <c r="C52" s="2">
        <f>B52*M$32</f>
        <v>3.7362835019255407E-2</v>
      </c>
      <c r="D52" s="2">
        <f>tandem!C$6*tandem!C$3*LN((M$28-C52)/tandem!C$7+1)</f>
        <v>0.47610939271282487</v>
      </c>
      <c r="E52" s="2">
        <f>tandem!C$13*tandem!C$3*LN((M$29-C52)/tandem!C$14+1)</f>
        <v>0.71465720834700797</v>
      </c>
      <c r="F52" s="2">
        <f t="shared" si="5"/>
        <v>1.1907666010598328</v>
      </c>
      <c r="G52" s="2">
        <f t="shared" si="2"/>
        <v>0.39029920082949682</v>
      </c>
      <c r="H52" s="2">
        <f>A52*M$31</f>
        <v>0.62407606015099615</v>
      </c>
      <c r="I52" s="2">
        <f>tandem!C$8-tandem!C$7*(EXP(G52/tandem!C$6/tandem!C$3)-1)</f>
        <v>0.96495820100881691</v>
      </c>
      <c r="J52" s="2">
        <f>tandem!C$15-tandem!C$14*(EXP(H52/tandem!C$13/tandem!C$3)-1)</f>
        <v>0.97085350196613707</v>
      </c>
    </row>
    <row r="53" spans="1:10" x14ac:dyDescent="0.2">
      <c r="A53">
        <v>1</v>
      </c>
      <c r="B53">
        <f t="shared" si="4"/>
        <v>0</v>
      </c>
      <c r="C53" s="2">
        <f>B53*M$32</f>
        <v>0</v>
      </c>
      <c r="D53" s="2">
        <f>tandem!C$6*tandem!C$3*LN((M$28-C53)/tandem!C$7+1)</f>
        <v>0.47709563139787919</v>
      </c>
      <c r="E53" s="2">
        <f>tandem!C$13*tandem!C$3*LN((M$29-C53)/tandem!C$14+1)</f>
        <v>0.7156434470320624</v>
      </c>
      <c r="F53" s="2">
        <f t="shared" si="5"/>
        <v>1.1927390784299416</v>
      </c>
      <c r="G53" s="2">
        <f t="shared" si="2"/>
        <v>0.3982644906423437</v>
      </c>
      <c r="H53" s="2">
        <f>A53*M$31</f>
        <v>0.63681230627652674</v>
      </c>
      <c r="I53" s="2">
        <f>tandem!C$8-tandem!C$7*(EXP(G53/tandem!C$6/tandem!C$3)-1)</f>
        <v>0.95234050904678114</v>
      </c>
      <c r="J53" s="2">
        <f>tandem!C$15-tandem!C$14*(EXP(H53/tandem!C$13/tandem!C$3)-1)</f>
        <v>0.95234050904678114</v>
      </c>
    </row>
    <row r="54" spans="1:10" x14ac:dyDescent="0.2">
      <c r="C54" s="7"/>
      <c r="D54" s="7"/>
      <c r="E54" s="7"/>
      <c r="F54" s="7"/>
      <c r="G54" s="7"/>
      <c r="H54" s="7"/>
    </row>
    <row r="55" spans="1:10" x14ac:dyDescent="0.2">
      <c r="C55" s="7"/>
      <c r="D55" s="7"/>
      <c r="E55" s="7"/>
      <c r="F55" s="7"/>
      <c r="G55" s="7"/>
      <c r="H55" s="7"/>
    </row>
    <row r="56" spans="1:10" x14ac:dyDescent="0.2">
      <c r="C56" s="7"/>
      <c r="D56" s="7"/>
      <c r="E56" s="7"/>
      <c r="F56" s="7"/>
      <c r="G56" s="7"/>
      <c r="H56" s="7"/>
    </row>
    <row r="57" spans="1:10" x14ac:dyDescent="0.2">
      <c r="C57" s="7"/>
      <c r="D57" s="7"/>
      <c r="E57" s="7"/>
      <c r="F57" s="7"/>
      <c r="G57" s="7"/>
      <c r="H57" s="7"/>
    </row>
    <row r="58" spans="1:10" x14ac:dyDescent="0.2">
      <c r="C58" s="7"/>
      <c r="D58" s="7"/>
      <c r="E58" s="7"/>
      <c r="F58" s="7"/>
      <c r="G58" s="7"/>
      <c r="H58" s="7"/>
    </row>
    <row r="59" spans="1:10" x14ac:dyDescent="0.2">
      <c r="C59" s="7"/>
      <c r="D59" s="7"/>
      <c r="E59" s="7"/>
      <c r="F59" s="7"/>
      <c r="G59" s="7"/>
      <c r="H59" s="7"/>
    </row>
    <row r="60" spans="1:10" x14ac:dyDescent="0.2">
      <c r="C60" s="7"/>
      <c r="D60" s="7"/>
      <c r="E60" s="7"/>
      <c r="F60" s="7"/>
      <c r="G60" s="7"/>
      <c r="H60" s="7"/>
    </row>
    <row r="61" spans="1:10" x14ac:dyDescent="0.2">
      <c r="C61" s="7"/>
      <c r="D61" s="7"/>
      <c r="E61" s="7"/>
      <c r="F61" s="7"/>
      <c r="G61" s="7"/>
      <c r="H61" s="7"/>
    </row>
    <row r="62" spans="1:10" x14ac:dyDescent="0.2">
      <c r="C62" s="7"/>
      <c r="D62" s="7"/>
      <c r="E62" s="7"/>
      <c r="F62" s="7"/>
      <c r="G62" s="7"/>
      <c r="H62" s="7"/>
    </row>
    <row r="63" spans="1:10" x14ac:dyDescent="0.2">
      <c r="C63" s="7"/>
      <c r="D63" s="7"/>
      <c r="E63" s="7"/>
      <c r="F63" s="7"/>
      <c r="G63" s="7"/>
      <c r="H63" s="7"/>
    </row>
    <row r="64" spans="1:10" x14ac:dyDescent="0.2">
      <c r="C64" s="7"/>
      <c r="D64" s="7"/>
      <c r="E64" s="7"/>
      <c r="F64" s="7"/>
      <c r="G64" s="7"/>
      <c r="H64" s="7"/>
    </row>
    <row r="65" spans="3:8" x14ac:dyDescent="0.2">
      <c r="C65" s="7"/>
      <c r="D65" s="7"/>
      <c r="E65" s="7"/>
      <c r="F65" s="7"/>
      <c r="G65" s="7"/>
      <c r="H65" s="7"/>
    </row>
    <row r="66" spans="3:8" x14ac:dyDescent="0.2">
      <c r="C66" s="7"/>
      <c r="D66" s="7"/>
      <c r="E66" s="7"/>
      <c r="F66" s="7"/>
      <c r="G66" s="7"/>
      <c r="H66" s="7"/>
    </row>
    <row r="67" spans="3:8" x14ac:dyDescent="0.2">
      <c r="C67" s="7"/>
      <c r="D67" s="7"/>
      <c r="E67" s="7"/>
      <c r="F67" s="7"/>
      <c r="G67" s="7"/>
      <c r="H67" s="7"/>
    </row>
    <row r="68" spans="3:8" x14ac:dyDescent="0.2">
      <c r="C68" s="7"/>
      <c r="D68" s="7"/>
      <c r="E68" s="7"/>
      <c r="F68" s="7"/>
      <c r="G68" s="7"/>
      <c r="H68" s="7"/>
    </row>
    <row r="69" spans="3:8" x14ac:dyDescent="0.2">
      <c r="C69" s="7"/>
      <c r="D69" s="7"/>
      <c r="E69" s="7"/>
      <c r="F69" s="7"/>
      <c r="G69" s="7"/>
      <c r="H69" s="7"/>
    </row>
    <row r="70" spans="3:8" x14ac:dyDescent="0.2">
      <c r="C70" s="7"/>
      <c r="D70" s="7"/>
      <c r="E70" s="7"/>
      <c r="F70" s="7"/>
      <c r="G70" s="7"/>
      <c r="H70" s="7"/>
    </row>
    <row r="71" spans="3:8" x14ac:dyDescent="0.2">
      <c r="C71" s="7"/>
      <c r="D71" s="7"/>
      <c r="E71" s="7"/>
      <c r="F71" s="7"/>
      <c r="G71" s="7"/>
      <c r="H71" s="7"/>
    </row>
    <row r="72" spans="3:8" x14ac:dyDescent="0.2">
      <c r="C72" s="7"/>
      <c r="D72" s="7"/>
      <c r="E72" s="7"/>
      <c r="F72" s="7"/>
      <c r="G72" s="7"/>
      <c r="H72" s="7"/>
    </row>
    <row r="73" spans="3:8" x14ac:dyDescent="0.2">
      <c r="C73" s="7"/>
      <c r="D73" s="7"/>
      <c r="E73" s="7"/>
      <c r="F73" s="7"/>
      <c r="G73" s="7"/>
      <c r="H73" s="7"/>
    </row>
    <row r="74" spans="3:8" x14ac:dyDescent="0.2">
      <c r="C74" s="7"/>
      <c r="D74" s="7"/>
      <c r="E74" s="7"/>
      <c r="F74" s="7"/>
      <c r="G74" s="7"/>
      <c r="H74" s="7"/>
    </row>
    <row r="75" spans="3:8" x14ac:dyDescent="0.2">
      <c r="C75" s="7"/>
      <c r="D75" s="7"/>
      <c r="E75" s="7"/>
      <c r="F75" s="7"/>
      <c r="G75" s="7"/>
      <c r="H75" s="7"/>
    </row>
    <row r="76" spans="3:8" x14ac:dyDescent="0.2">
      <c r="C76" s="7"/>
      <c r="D76" s="7"/>
      <c r="E76" s="7"/>
      <c r="F76" s="7"/>
      <c r="G76" s="7"/>
      <c r="H76" s="7"/>
    </row>
    <row r="77" spans="3:8" x14ac:dyDescent="0.2">
      <c r="C77" s="7"/>
      <c r="D77" s="7"/>
      <c r="E77" s="7"/>
      <c r="F77" s="7"/>
      <c r="G77" s="7"/>
      <c r="H77" s="7"/>
    </row>
    <row r="78" spans="3:8" x14ac:dyDescent="0.2">
      <c r="C78" s="7"/>
      <c r="D78" s="7"/>
      <c r="E78" s="7"/>
      <c r="F78" s="7"/>
      <c r="G78" s="7"/>
      <c r="H78" s="7"/>
    </row>
    <row r="79" spans="3:8" x14ac:dyDescent="0.2">
      <c r="C79" s="7"/>
      <c r="D79" s="7"/>
      <c r="E79" s="7"/>
      <c r="F79" s="7"/>
      <c r="G79" s="7"/>
      <c r="H79" s="7"/>
    </row>
    <row r="80" spans="3:8" x14ac:dyDescent="0.2">
      <c r="C80" s="7"/>
      <c r="D80" s="7"/>
      <c r="E80" s="7"/>
      <c r="F80" s="7"/>
      <c r="G80" s="7"/>
      <c r="H80" s="7"/>
    </row>
    <row r="81" spans="3:8" x14ac:dyDescent="0.2">
      <c r="C81" s="7"/>
      <c r="D81" s="7"/>
      <c r="E81" s="7"/>
      <c r="F81" s="7"/>
      <c r="G81" s="7"/>
      <c r="H81" s="7"/>
    </row>
    <row r="82" spans="3:8" x14ac:dyDescent="0.2">
      <c r="C82" s="7"/>
      <c r="D82" s="7"/>
      <c r="E82" s="7"/>
      <c r="F82" s="7"/>
      <c r="G82" s="7"/>
      <c r="H82" s="7"/>
    </row>
    <row r="83" spans="3:8" x14ac:dyDescent="0.2">
      <c r="C83" s="7"/>
      <c r="D83" s="7"/>
      <c r="E83" s="7"/>
      <c r="F83" s="7"/>
      <c r="G83" s="7"/>
      <c r="H83" s="7"/>
    </row>
    <row r="84" spans="3:8" x14ac:dyDescent="0.2">
      <c r="C84" s="7"/>
      <c r="D84" s="7"/>
      <c r="E84" s="7"/>
      <c r="F84" s="7"/>
      <c r="G84" s="7"/>
      <c r="H84" s="7"/>
    </row>
    <row r="85" spans="3:8" x14ac:dyDescent="0.2">
      <c r="C85" s="7"/>
      <c r="D85" s="7"/>
      <c r="E85" s="7"/>
      <c r="F85" s="7"/>
      <c r="G85" s="7"/>
      <c r="H85" s="7"/>
    </row>
    <row r="86" spans="3:8" x14ac:dyDescent="0.2">
      <c r="C86" s="7"/>
      <c r="D86" s="7"/>
      <c r="E86" s="7"/>
      <c r="F86" s="7"/>
      <c r="G86" s="7"/>
      <c r="H86" s="7"/>
    </row>
    <row r="87" spans="3:8" x14ac:dyDescent="0.2">
      <c r="C87" s="7"/>
      <c r="D87" s="7"/>
      <c r="E87" s="7"/>
      <c r="F87" s="7"/>
      <c r="G87" s="7"/>
      <c r="H87" s="7"/>
    </row>
    <row r="88" spans="3:8" x14ac:dyDescent="0.2">
      <c r="C88" s="7"/>
      <c r="D88" s="7"/>
      <c r="E88" s="7"/>
      <c r="F88" s="7"/>
      <c r="G88" s="7"/>
      <c r="H88" s="7"/>
    </row>
    <row r="89" spans="3:8" x14ac:dyDescent="0.2">
      <c r="C89" s="7"/>
      <c r="D89" s="7"/>
      <c r="E89" s="7"/>
      <c r="F89" s="7"/>
      <c r="G89" s="7"/>
      <c r="H89" s="7"/>
    </row>
    <row r="90" spans="3:8" x14ac:dyDescent="0.2">
      <c r="C90" s="7"/>
      <c r="D90" s="7"/>
      <c r="E90" s="7"/>
      <c r="F90" s="7"/>
      <c r="G90" s="7"/>
      <c r="H90" s="7"/>
    </row>
    <row r="91" spans="3:8" x14ac:dyDescent="0.2">
      <c r="C91" s="7"/>
      <c r="D91" s="7"/>
      <c r="E91" s="7"/>
      <c r="F91" s="7"/>
      <c r="G91" s="7"/>
      <c r="H91" s="7"/>
    </row>
    <row r="92" spans="3:8" x14ac:dyDescent="0.2">
      <c r="C92" s="7"/>
      <c r="D92" s="7"/>
      <c r="E92" s="7"/>
      <c r="F92" s="7"/>
      <c r="G92" s="7"/>
      <c r="H92" s="7"/>
    </row>
    <row r="93" spans="3:8" x14ac:dyDescent="0.2">
      <c r="C93" s="7"/>
      <c r="D93" s="7"/>
      <c r="E93" s="7"/>
      <c r="F93" s="7"/>
      <c r="G93" s="7"/>
      <c r="H93" s="7"/>
    </row>
    <row r="94" spans="3:8" x14ac:dyDescent="0.2">
      <c r="C94" s="7"/>
      <c r="D94" s="7"/>
      <c r="E94" s="7"/>
      <c r="F94" s="7"/>
      <c r="G94" s="7"/>
      <c r="H94" s="7"/>
    </row>
    <row r="95" spans="3:8" x14ac:dyDescent="0.2">
      <c r="C95" s="7"/>
      <c r="D95" s="7"/>
      <c r="E95" s="7"/>
      <c r="F95" s="7"/>
      <c r="G95" s="7"/>
      <c r="H95" s="7"/>
    </row>
    <row r="96" spans="3:8" x14ac:dyDescent="0.2">
      <c r="C96" s="7"/>
      <c r="D96" s="7"/>
      <c r="E96" s="7"/>
      <c r="F96" s="7"/>
      <c r="G96" s="7"/>
      <c r="H96" s="7"/>
    </row>
    <row r="97" spans="3:8" x14ac:dyDescent="0.2">
      <c r="C97" s="7"/>
      <c r="D97" s="7"/>
      <c r="E97" s="7"/>
      <c r="F97" s="7"/>
      <c r="G97" s="7"/>
      <c r="H97" s="7"/>
    </row>
    <row r="98" spans="3:8" x14ac:dyDescent="0.2">
      <c r="C98" s="7"/>
      <c r="D98" s="7"/>
      <c r="E98" s="7"/>
      <c r="F98" s="7"/>
      <c r="G98" s="7"/>
      <c r="H98" s="7"/>
    </row>
    <row r="99" spans="3:8" x14ac:dyDescent="0.2">
      <c r="C99" s="7"/>
      <c r="D99" s="7"/>
      <c r="E99" s="7"/>
      <c r="F99" s="7"/>
      <c r="G99" s="7"/>
      <c r="H99" s="7"/>
    </row>
    <row r="100" spans="3:8" x14ac:dyDescent="0.2">
      <c r="C100" s="7"/>
      <c r="D100" s="7"/>
      <c r="E100" s="7"/>
      <c r="F100" s="7"/>
      <c r="G100" s="7"/>
      <c r="H100" s="7"/>
    </row>
    <row r="101" spans="3:8" x14ac:dyDescent="0.2">
      <c r="C101" s="7"/>
      <c r="D101" s="7"/>
      <c r="E101" s="7"/>
      <c r="F101" s="7"/>
      <c r="G101" s="7"/>
      <c r="H101" s="7"/>
    </row>
    <row r="102" spans="3:8" x14ac:dyDescent="0.2">
      <c r="C102" s="7"/>
      <c r="D102" s="7"/>
      <c r="E102" s="7"/>
      <c r="F102" s="7"/>
      <c r="G102" s="7"/>
      <c r="H102" s="7"/>
    </row>
    <row r="103" spans="3:8" x14ac:dyDescent="0.2">
      <c r="C103" s="7"/>
      <c r="D103" s="7"/>
      <c r="E103" s="7"/>
      <c r="F103" s="7"/>
      <c r="G103" s="7"/>
      <c r="H103" s="7"/>
    </row>
    <row r="104" spans="3:8" x14ac:dyDescent="0.2">
      <c r="C104" s="1"/>
      <c r="D104" s="1"/>
      <c r="E104" s="1"/>
    </row>
    <row r="105" spans="3:8" x14ac:dyDescent="0.2">
      <c r="C105" s="1"/>
      <c r="D105" s="1"/>
      <c r="E105" s="1"/>
    </row>
    <row r="106" spans="3:8" x14ac:dyDescent="0.2">
      <c r="C106" s="1"/>
      <c r="D106" s="1"/>
      <c r="E106" s="1"/>
    </row>
    <row r="107" spans="3:8" x14ac:dyDescent="0.2">
      <c r="C107" s="1"/>
      <c r="D107" s="1"/>
      <c r="E107" s="1"/>
    </row>
    <row r="108" spans="3:8" x14ac:dyDescent="0.2">
      <c r="C108" s="1"/>
      <c r="D108" s="1"/>
      <c r="E108" s="1"/>
    </row>
    <row r="109" spans="3:8" x14ac:dyDescent="0.2">
      <c r="C109" s="1"/>
      <c r="D109" s="1"/>
      <c r="E109" s="1"/>
    </row>
    <row r="110" spans="3:8" x14ac:dyDescent="0.2">
      <c r="C110" s="1"/>
      <c r="D110" s="1"/>
      <c r="E110" s="1"/>
    </row>
    <row r="111" spans="3:8" x14ac:dyDescent="0.2">
      <c r="C111" s="1"/>
      <c r="D111" s="1"/>
      <c r="E111" s="1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20</vt:i4>
      </vt:variant>
    </vt:vector>
  </HeadingPairs>
  <TitlesOfParts>
    <vt:vector size="22" baseType="lpstr">
      <vt:lpstr>tandem</vt:lpstr>
      <vt:lpstr>calc</vt:lpstr>
      <vt:lpstr>I0_1_mA</vt:lpstr>
      <vt:lpstr>I0_2_mA</vt:lpstr>
      <vt:lpstr>I1m_mA</vt:lpstr>
      <vt:lpstr>I2m_mA</vt:lpstr>
      <vt:lpstr>Ierror</vt:lpstr>
      <vt:lpstr>Im_mA</vt:lpstr>
      <vt:lpstr>Ip_1_mA</vt:lpstr>
      <vt:lpstr>Ip_2_mA</vt:lpstr>
      <vt:lpstr>Ip_mA</vt:lpstr>
      <vt:lpstr>Isc_mA</vt:lpstr>
      <vt:lpstr>n_1</vt:lpstr>
      <vt:lpstr>n_2</vt:lpstr>
      <vt:lpstr>P1m_mW</vt:lpstr>
      <vt:lpstr>P2m_mW</vt:lpstr>
      <vt:lpstr>Pm_mW</vt:lpstr>
      <vt:lpstr>SolveState</vt:lpstr>
      <vt:lpstr>u</vt:lpstr>
      <vt:lpstr>V1_V</vt:lpstr>
      <vt:lpstr>V2_V</vt:lpstr>
      <vt:lpstr>Voc_V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2024-03-14T17:59:30Z</dcterms:created>
  <dcterms:modified xsi:type="dcterms:W3CDTF">2024-03-26T23:08:42Z</dcterms:modified>
</cp:coreProperties>
</file>