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"/>
    </mc:Choice>
  </mc:AlternateContent>
  <xr:revisionPtr revIDLastSave="0" documentId="13_ncr:1_{F8854D3C-07F0-244D-B997-63C9F426F872}" xr6:coauthVersionLast="47" xr6:coauthVersionMax="47" xr10:uidLastSave="{00000000-0000-0000-0000-000000000000}"/>
  <bookViews>
    <workbookView xWindow="0" yWindow="520" windowWidth="29420" windowHeight="17500" xr2:uid="{F39901F2-9B9C-3F40-87C6-17C8C951FC81}"/>
  </bookViews>
  <sheets>
    <sheet name="Sheet1" sheetId="1" r:id="rId1"/>
    <sheet name="Sheet3" sheetId="3" r:id="rId2"/>
    <sheet name="Sheet2" sheetId="2" r:id="rId3"/>
  </sheets>
  <definedNames>
    <definedName name="solver_adj" localSheetId="0" hidden="1">Sheet1!$H$24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Sheet1!$C$21</definedName>
    <definedName name="solver_lhs2" localSheetId="0" hidden="1">Sheet1!$C$21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Sheet1!$C$29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hs1" localSheetId="0" hidden="1">Sheet1!$H$20</definedName>
    <definedName name="solver_rhs2" localSheetId="0" hidden="1">Sheet1!$H$21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1" l="1"/>
  <c r="H28" i="1"/>
  <c r="H29" i="1"/>
  <c r="C16" i="1"/>
  <c r="C9" i="1"/>
  <c r="C28" i="1" s="1"/>
  <c r="C29" i="1" s="1"/>
  <c r="K25" i="1"/>
  <c r="K24" i="1"/>
  <c r="K28" i="1"/>
  <c r="J29" i="1"/>
  <c r="J28" i="1"/>
  <c r="H16" i="1"/>
  <c r="H15" i="1"/>
  <c r="H13" i="1"/>
  <c r="G16" i="1"/>
  <c r="G15" i="1"/>
  <c r="G14" i="1"/>
  <c r="G13" i="1"/>
  <c r="H4" i="1"/>
  <c r="H3" i="1"/>
  <c r="G9" i="1"/>
  <c r="H2" i="1"/>
  <c r="K19" i="1"/>
  <c r="K21" i="1" s="1"/>
  <c r="H26" i="1"/>
  <c r="K29" i="1" s="1"/>
  <c r="H30" i="1" l="1"/>
  <c r="H8" i="1"/>
  <c r="G8" i="1"/>
  <c r="H9" i="1"/>
  <c r="K20" i="1"/>
  <c r="C21" i="1" l="1"/>
  <c r="G7" i="1"/>
  <c r="H7" i="1"/>
  <c r="G6" i="1"/>
  <c r="H6" i="1" s="1"/>
  <c r="H10" i="1" l="1"/>
  <c r="C8" i="1" s="1"/>
  <c r="H17" i="1"/>
  <c r="H18" i="1" l="1"/>
  <c r="H11" i="1" s="1"/>
  <c r="C15" i="1"/>
  <c r="H20" i="1" l="1"/>
  <c r="N4" i="1"/>
  <c r="N6" i="1"/>
  <c r="N8" i="1"/>
  <c r="N10" i="1"/>
  <c r="N12" i="1"/>
  <c r="N14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46" i="1"/>
  <c r="N48" i="1"/>
  <c r="N50" i="1"/>
  <c r="N52" i="1"/>
  <c r="N54" i="1"/>
  <c r="N56" i="1"/>
  <c r="N58" i="1"/>
  <c r="N60" i="1"/>
  <c r="N62" i="1"/>
  <c r="N64" i="1"/>
  <c r="N66" i="1"/>
  <c r="N68" i="1"/>
  <c r="N70" i="1"/>
  <c r="N72" i="1"/>
  <c r="N74" i="1"/>
  <c r="N76" i="1"/>
  <c r="N78" i="1"/>
  <c r="N80" i="1"/>
  <c r="N82" i="1"/>
  <c r="N84" i="1"/>
  <c r="N86" i="1"/>
  <c r="N88" i="1"/>
  <c r="N90" i="1"/>
  <c r="N92" i="1"/>
  <c r="N94" i="1"/>
  <c r="N96" i="1"/>
  <c r="N98" i="1"/>
  <c r="N100" i="1"/>
  <c r="N102" i="1"/>
  <c r="N3" i="1"/>
  <c r="N5" i="1"/>
  <c r="N7" i="1"/>
  <c r="N9" i="1"/>
  <c r="N11" i="1"/>
  <c r="N13" i="1"/>
  <c r="N15" i="1"/>
  <c r="N17" i="1"/>
  <c r="N19" i="1"/>
  <c r="N21" i="1"/>
  <c r="N23" i="1"/>
  <c r="N25" i="1"/>
  <c r="N27" i="1"/>
  <c r="N29" i="1"/>
  <c r="N31" i="1"/>
  <c r="N33" i="1"/>
  <c r="N35" i="1"/>
  <c r="N37" i="1"/>
  <c r="N39" i="1"/>
  <c r="N41" i="1"/>
  <c r="N43" i="1"/>
  <c r="N45" i="1"/>
  <c r="N47" i="1"/>
  <c r="N49" i="1"/>
  <c r="N51" i="1"/>
  <c r="N53" i="1"/>
  <c r="N55" i="1"/>
  <c r="N57" i="1"/>
  <c r="N59" i="1"/>
  <c r="N61" i="1"/>
  <c r="N63" i="1"/>
  <c r="N65" i="1"/>
  <c r="N67" i="1"/>
  <c r="N69" i="1"/>
  <c r="N71" i="1"/>
  <c r="N73" i="1"/>
  <c r="N75" i="1"/>
  <c r="N77" i="1"/>
  <c r="N79" i="1"/>
  <c r="N81" i="1"/>
  <c r="N83" i="1"/>
  <c r="N85" i="1"/>
  <c r="N87" i="1"/>
  <c r="N89" i="1"/>
  <c r="N91" i="1"/>
  <c r="N93" i="1"/>
  <c r="N95" i="1"/>
  <c r="N97" i="1"/>
  <c r="N99" i="1"/>
  <c r="N101" i="1"/>
  <c r="N103" i="1"/>
  <c r="C10" i="1" l="1"/>
  <c r="H21" i="1"/>
  <c r="O4" i="1"/>
  <c r="P4" i="1" s="1"/>
  <c r="O6" i="1"/>
  <c r="P6" i="1" s="1"/>
  <c r="O8" i="1"/>
  <c r="P8" i="1" s="1"/>
  <c r="O10" i="1"/>
  <c r="P10" i="1" s="1"/>
  <c r="O12" i="1"/>
  <c r="P12" i="1" s="1"/>
  <c r="O14" i="1"/>
  <c r="P14" i="1" s="1"/>
  <c r="O16" i="1"/>
  <c r="P16" i="1" s="1"/>
  <c r="O18" i="1"/>
  <c r="P18" i="1" s="1"/>
  <c r="O20" i="1"/>
  <c r="P20" i="1" s="1"/>
  <c r="O22" i="1"/>
  <c r="P22" i="1" s="1"/>
  <c r="O24" i="1"/>
  <c r="P24" i="1" s="1"/>
  <c r="O26" i="1"/>
  <c r="P26" i="1" s="1"/>
  <c r="O28" i="1"/>
  <c r="P28" i="1" s="1"/>
  <c r="O30" i="1"/>
  <c r="P30" i="1" s="1"/>
  <c r="O32" i="1"/>
  <c r="P32" i="1" s="1"/>
  <c r="O34" i="1"/>
  <c r="P34" i="1" s="1"/>
  <c r="O36" i="1"/>
  <c r="P36" i="1" s="1"/>
  <c r="O38" i="1"/>
  <c r="P38" i="1" s="1"/>
  <c r="O40" i="1"/>
  <c r="P40" i="1" s="1"/>
  <c r="O42" i="1"/>
  <c r="P42" i="1" s="1"/>
  <c r="O44" i="1"/>
  <c r="P44" i="1" s="1"/>
  <c r="O46" i="1"/>
  <c r="P46" i="1" s="1"/>
  <c r="O48" i="1"/>
  <c r="P48" i="1" s="1"/>
  <c r="O50" i="1"/>
  <c r="P50" i="1" s="1"/>
  <c r="O52" i="1"/>
  <c r="P52" i="1" s="1"/>
  <c r="O54" i="1"/>
  <c r="P54" i="1" s="1"/>
  <c r="O56" i="1"/>
  <c r="P56" i="1" s="1"/>
  <c r="O58" i="1"/>
  <c r="P58" i="1" s="1"/>
  <c r="O60" i="1"/>
  <c r="P60" i="1" s="1"/>
  <c r="O62" i="1"/>
  <c r="P62" i="1" s="1"/>
  <c r="O64" i="1"/>
  <c r="P64" i="1" s="1"/>
  <c r="O66" i="1"/>
  <c r="P66" i="1" s="1"/>
  <c r="O68" i="1"/>
  <c r="P68" i="1" s="1"/>
  <c r="O70" i="1"/>
  <c r="P70" i="1" s="1"/>
  <c r="O72" i="1"/>
  <c r="P72" i="1" s="1"/>
  <c r="O74" i="1"/>
  <c r="P74" i="1" s="1"/>
  <c r="O76" i="1"/>
  <c r="P76" i="1" s="1"/>
  <c r="O78" i="1"/>
  <c r="P78" i="1" s="1"/>
  <c r="O80" i="1"/>
  <c r="P80" i="1" s="1"/>
  <c r="O82" i="1"/>
  <c r="P82" i="1" s="1"/>
  <c r="O84" i="1"/>
  <c r="P84" i="1" s="1"/>
  <c r="O86" i="1"/>
  <c r="P86" i="1" s="1"/>
  <c r="O88" i="1"/>
  <c r="P88" i="1" s="1"/>
  <c r="O90" i="1"/>
  <c r="P90" i="1" s="1"/>
  <c r="O92" i="1"/>
  <c r="P92" i="1" s="1"/>
  <c r="O94" i="1"/>
  <c r="P94" i="1" s="1"/>
  <c r="O96" i="1"/>
  <c r="P96" i="1" s="1"/>
  <c r="O98" i="1"/>
  <c r="P98" i="1" s="1"/>
  <c r="O100" i="1"/>
  <c r="P100" i="1" s="1"/>
  <c r="O102" i="1"/>
  <c r="P102" i="1" s="1"/>
  <c r="O5" i="1"/>
  <c r="P5" i="1" s="1"/>
  <c r="O7" i="1"/>
  <c r="P7" i="1" s="1"/>
  <c r="O9" i="1"/>
  <c r="P9" i="1" s="1"/>
  <c r="O11" i="1"/>
  <c r="P11" i="1" s="1"/>
  <c r="O13" i="1"/>
  <c r="P13" i="1" s="1"/>
  <c r="O15" i="1"/>
  <c r="P15" i="1" s="1"/>
  <c r="O17" i="1"/>
  <c r="P17" i="1" s="1"/>
  <c r="O19" i="1"/>
  <c r="P19" i="1" s="1"/>
  <c r="O21" i="1"/>
  <c r="P21" i="1" s="1"/>
  <c r="O23" i="1"/>
  <c r="P23" i="1" s="1"/>
  <c r="O25" i="1"/>
  <c r="P25" i="1" s="1"/>
  <c r="O27" i="1"/>
  <c r="P27" i="1" s="1"/>
  <c r="O29" i="1"/>
  <c r="P29" i="1" s="1"/>
  <c r="O31" i="1"/>
  <c r="P31" i="1" s="1"/>
  <c r="O33" i="1"/>
  <c r="P33" i="1" s="1"/>
  <c r="O35" i="1"/>
  <c r="P35" i="1" s="1"/>
  <c r="O37" i="1"/>
  <c r="P37" i="1" s="1"/>
  <c r="O39" i="1"/>
  <c r="P39" i="1" s="1"/>
  <c r="O41" i="1"/>
  <c r="P41" i="1" s="1"/>
  <c r="O43" i="1"/>
  <c r="P43" i="1" s="1"/>
  <c r="O45" i="1"/>
  <c r="P45" i="1" s="1"/>
  <c r="O47" i="1"/>
  <c r="P47" i="1" s="1"/>
  <c r="O49" i="1"/>
  <c r="P49" i="1" s="1"/>
  <c r="O51" i="1"/>
  <c r="P51" i="1" s="1"/>
  <c r="O53" i="1"/>
  <c r="P53" i="1" s="1"/>
  <c r="O55" i="1"/>
  <c r="P55" i="1" s="1"/>
  <c r="O57" i="1"/>
  <c r="P57" i="1" s="1"/>
  <c r="O59" i="1"/>
  <c r="P59" i="1" s="1"/>
  <c r="O61" i="1"/>
  <c r="P61" i="1" s="1"/>
  <c r="O63" i="1"/>
  <c r="P63" i="1" s="1"/>
  <c r="O65" i="1"/>
  <c r="P65" i="1" s="1"/>
  <c r="O67" i="1"/>
  <c r="P67" i="1" s="1"/>
  <c r="O69" i="1"/>
  <c r="P69" i="1" s="1"/>
  <c r="O71" i="1"/>
  <c r="P71" i="1" s="1"/>
  <c r="O73" i="1"/>
  <c r="P73" i="1" s="1"/>
  <c r="O75" i="1"/>
  <c r="P75" i="1" s="1"/>
  <c r="O77" i="1"/>
  <c r="P77" i="1" s="1"/>
  <c r="O79" i="1"/>
  <c r="P79" i="1" s="1"/>
  <c r="O81" i="1"/>
  <c r="P81" i="1" s="1"/>
  <c r="O83" i="1"/>
  <c r="P83" i="1" s="1"/>
  <c r="O85" i="1"/>
  <c r="P85" i="1" s="1"/>
  <c r="O87" i="1"/>
  <c r="P87" i="1" s="1"/>
  <c r="O89" i="1"/>
  <c r="P89" i="1" s="1"/>
  <c r="O91" i="1"/>
  <c r="P91" i="1" s="1"/>
  <c r="O93" i="1"/>
  <c r="P93" i="1" s="1"/>
  <c r="O95" i="1"/>
  <c r="P95" i="1" s="1"/>
  <c r="O97" i="1"/>
  <c r="P97" i="1" s="1"/>
  <c r="O99" i="1"/>
  <c r="P99" i="1" s="1"/>
  <c r="O101" i="1"/>
  <c r="P101" i="1" s="1"/>
  <c r="O103" i="1"/>
  <c r="P103" i="1" s="1"/>
  <c r="O3" i="1"/>
  <c r="P3" i="1" s="1"/>
  <c r="C22" i="1" l="1"/>
  <c r="C17" i="1"/>
</calcChain>
</file>

<file path=xl/sharedStrings.xml><?xml version="1.0" encoding="utf-8"?>
<sst xmlns="http://schemas.openxmlformats.org/spreadsheetml/2006/main" count="38" uniqueCount="33">
  <si>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</si>
  <si>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</si>
  <si>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</si>
  <si>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</si>
  <si>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</si>
  <si>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</si>
  <si>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</si>
  <si>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</si>
  <si>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</si>
  <si>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</si>
  <si>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</si>
  <si>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</si>
  <si>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</si>
  <si>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</si>
  <si>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</si>
  <si>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</si>
  <si>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P1 (W)</t>
  </si>
  <si>
    <t>P2 (W)</t>
  </si>
  <si>
    <t>P (W)</t>
  </si>
  <si>
    <t>V (V)</t>
  </si>
  <si>
    <t>V2 (V)</t>
  </si>
  <si>
    <t>Isc (mA)</t>
  </si>
  <si>
    <t>Ip_1-I0_1</t>
  </si>
  <si>
    <t>Ip_2-I0_2</t>
  </si>
  <si>
    <t>u</t>
  </si>
  <si>
    <t>v</t>
  </si>
  <si>
    <t>w</t>
  </si>
  <si>
    <t>I1</t>
  </si>
  <si>
    <t>I2</t>
  </si>
  <si>
    <t>m1</t>
  </si>
  <si>
    <t>m2</t>
  </si>
  <si>
    <t>n1+n2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</si>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</sst>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0" fontId="0" fillId="0" borderId="1" xfId="0" applyBorder="1"/>
    <xf numFmtId="11" fontId="0" fillId="0" borderId="1" xfId="0" applyNumberFormat="1" applyBorder="1"/>
    <xf numFmtId="2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Sheet1!$P$3:$P$52</c:f>
              <c:numCache>
                <c:formatCode>0.00</c:formatCode>
                <c:ptCount val="50"/>
                <c:pt idx="0">
                  <c:v>0.91828629038888154</c:v>
                </c:pt>
                <c:pt idx="1">
                  <c:v>0.91617171323127911</c:v>
                </c:pt>
                <c:pt idx="2">
                  <c:v>0.91396712755063203</c:v>
                </c:pt>
                <c:pt idx="3">
                  <c:v>0.91166452880900462</c:v>
                </c:pt>
                <c:pt idx="4">
                  <c:v>0.90925479480242444</c:v>
                </c:pt>
                <c:pt idx="5">
                  <c:v>0.90672746738208576</c:v>
                </c:pt>
                <c:pt idx="6">
                  <c:v>0.9040704781410418</c:v>
                </c:pt>
                <c:pt idx="7">
                  <c:v>0.90126979986616473</c:v>
                </c:pt>
                <c:pt idx="8">
                  <c:v>0.89830899826169874</c:v>
                </c:pt>
                <c:pt idx="9">
                  <c:v>0.89516864761310577</c:v>
                </c:pt>
                <c:pt idx="10">
                  <c:v>0.89182555761454363</c:v>
                </c:pt>
                <c:pt idx="11">
                  <c:v>0.88825173303879223</c:v>
                </c:pt>
                <c:pt idx="12">
                  <c:v>0.88441294719731234</c:v>
                </c:pt>
                <c:pt idx="13">
                  <c:v>0.88026674324191889</c:v>
                </c:pt>
                <c:pt idx="14">
                  <c:v>0.87575956372542185</c:v>
                </c:pt>
                <c:pt idx="15">
                  <c:v>0.87082250818543416</c:v>
                </c:pt>
                <c:pt idx="16">
                  <c:v>0.86536484786464851</c:v>
                </c:pt>
                <c:pt idx="17">
                  <c:v>0.8592637046055045</c:v>
                </c:pt>
                <c:pt idx="18">
                  <c:v>0.85234680159478948</c:v>
                </c:pt>
                <c:pt idx="19">
                  <c:v>0.8443618272160347</c:v>
                </c:pt>
                <c:pt idx="20">
                  <c:v>0.83491761374489326</c:v>
                </c:pt>
                <c:pt idx="21">
                  <c:v>0.8233588425429279</c:v>
                </c:pt>
                <c:pt idx="22">
                  <c:v>0.80845701911659695</c:v>
                </c:pt>
                <c:pt idx="23">
                  <c:v>0.78745414236926203</c:v>
                </c:pt>
                <c:pt idx="24">
                  <c:v>0.75154976596886414</c:v>
                </c:pt>
                <c:pt idx="25">
                  <c:v>0.20264797141932003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Sheet1!$M$3:$M$52</c:f>
              <c:numCache>
                <c:formatCode>0.00</c:formatCode>
                <c:ptCount val="5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(mA)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18</xdr:row>
      <xdr:rowOff>38100</xdr:rowOff>
    </xdr:from>
    <xdr:to>
      <xdr:col>5</xdr:col>
      <xdr:colOff>254000</xdr:colOff>
      <xdr:row>20</xdr:row>
      <xdr:rowOff>88900</xdr:rowOff>
    </xdr:to>
    <xdr:sp macro="[0]!ThisWorkbook.Solve_I" textlink="">
      <xdr:nvSpPr>
        <xdr:cNvPr id="3" name="Rounded Rectangle 2">
          <a:extLst>
            <a:ext uri="{FF2B5EF4-FFF2-40B4-BE49-F238E27FC236}">
              <a16:creationId xmlns:a16="http://schemas.microsoft.com/office/drawing/2014/main" id="{27CE620D-FFC8-4B7C-8165-080539BF06FB}"/>
            </a:ext>
          </a:extLst>
        </xdr:cNvPr>
        <xdr:cNvSpPr/>
      </xdr:nvSpPr>
      <xdr:spPr>
        <a:xfrm>
          <a:off x="3340100" y="3695700"/>
          <a:ext cx="104140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Solve</a:t>
          </a:r>
        </a:p>
      </xdr:txBody>
    </xdr:sp>
    <xdr:clientData/>
  </xdr:twoCellAnchor>
  <xdr:twoCellAnchor>
    <xdr:from>
      <xdr:col>11</xdr:col>
      <xdr:colOff>247650</xdr:colOff>
      <xdr:row>1</xdr:row>
      <xdr:rowOff>187325</xdr:rowOff>
    </xdr:from>
    <xdr:to>
      <xdr:col>17</xdr:col>
      <xdr:colOff>501650</xdr:colOff>
      <xdr:row>15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9C191B-2963-30F3-367E-F2DC845AFC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B2:AN111"/>
  <sheetViews>
    <sheetView tabSelected="1" zoomScaleNormal="100" workbookViewId="0">
      <selection activeCell="C8" sqref="C8"/>
    </sheetView>
  </sheetViews>
  <sheetFormatPr baseColWidth="10" defaultRowHeight="16" x14ac:dyDescent="0.2"/>
  <cols>
    <col min="3" max="3" width="16" customWidth="1"/>
    <col min="8" max="8" width="19.1640625" customWidth="1"/>
    <col min="11" max="11" width="12.1640625" bestFit="1" customWidth="1"/>
  </cols>
  <sheetData>
    <row r="2" spans="2:40" x14ac:dyDescent="0.2">
      <c r="B2" t="s">
        <v>0</v>
      </c>
      <c r="C2" s="7">
        <v>1</v>
      </c>
      <c r="G2" t="s">
        <v>11</v>
      </c>
      <c r="H2">
        <f>Sheet1!C6+Sheet1!C13</f>
        <v>2</v>
      </c>
      <c r="M2" t="s">
        <v>8</v>
      </c>
      <c r="N2" t="s">
        <v>4</v>
      </c>
      <c r="O2" t="s">
        <v>20</v>
      </c>
      <c r="P2" t="s">
        <v>19</v>
      </c>
    </row>
    <row r="3" spans="2:40" x14ac:dyDescent="0.2">
      <c r="B3" t="s">
        <v>1</v>
      </c>
      <c r="C3" s="7">
        <v>2.5899999999999999E-2</v>
      </c>
      <c r="G3" t="s">
        <v>29</v>
      </c>
      <c r="H3">
        <f>C6/H2</f>
        <v>0.5</v>
      </c>
      <c r="M3" s="9">
        <v>0</v>
      </c>
      <c r="N3" s="9">
        <f t="shared" ref="N3:N34" si="0">C$3*C$6*LN((C$8-M3)/C$7+1)</f>
        <v>0.33986923737734914</v>
      </c>
      <c r="O3" s="9">
        <f t="shared" ref="O3:O34" si="1">C$3*C$13*LN((C$15-M3)/C$14+1)</f>
        <v>0.57841705301153234</v>
      </c>
      <c r="P3" s="9">
        <f>N3+O3</f>
        <v>0.91828629038888154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2:40" x14ac:dyDescent="0.2">
      <c r="G4" t="s">
        <v>30</v>
      </c>
      <c r="H4">
        <f>C13/H2</f>
        <v>0.5</v>
      </c>
      <c r="M4" s="9">
        <v>0.02</v>
      </c>
      <c r="N4" s="9">
        <f t="shared" si="0"/>
        <v>0.33881194879854803</v>
      </c>
      <c r="O4" s="9">
        <f t="shared" si="1"/>
        <v>0.57735976443273107</v>
      </c>
      <c r="P4" s="9">
        <f t="shared" ref="P4:P67" si="2">N4+O4</f>
        <v>0.91617171323127911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</row>
    <row r="5" spans="2:40" x14ac:dyDescent="0.2">
      <c r="M5" s="9">
        <v>0.04</v>
      </c>
      <c r="N5" s="9">
        <f t="shared" si="0"/>
        <v>0.3377096559582245</v>
      </c>
      <c r="O5" s="9">
        <f t="shared" si="1"/>
        <v>0.57625747159240759</v>
      </c>
      <c r="P5" s="9">
        <f t="shared" si="2"/>
        <v>0.91396712755063203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</row>
    <row r="6" spans="2:40" x14ac:dyDescent="0.2">
      <c r="B6" t="s">
        <v>9</v>
      </c>
      <c r="C6" s="7">
        <v>1</v>
      </c>
      <c r="G6">
        <f>1-G13</f>
        <v>0.5</v>
      </c>
      <c r="H6">
        <f>G6*Sheet1!C2</f>
        <v>0.5</v>
      </c>
      <c r="M6" s="9">
        <v>0.06</v>
      </c>
      <c r="N6" s="9">
        <f t="shared" si="0"/>
        <v>0.33655835658741073</v>
      </c>
      <c r="O6" s="9">
        <f t="shared" si="1"/>
        <v>0.57510617222159388</v>
      </c>
      <c r="P6" s="9">
        <f t="shared" si="2"/>
        <v>0.91166452880900462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</row>
    <row r="7" spans="2:40" x14ac:dyDescent="0.2">
      <c r="B7" t="s">
        <v>6</v>
      </c>
      <c r="C7" s="8">
        <v>9.9999999999999995E-7</v>
      </c>
      <c r="G7">
        <f>-G14</f>
        <v>0</v>
      </c>
      <c r="H7" s="5">
        <f>-H14</f>
        <v>0</v>
      </c>
      <c r="M7" s="9">
        <v>0.08</v>
      </c>
      <c r="N7" s="9">
        <f t="shared" si="0"/>
        <v>0.3353534895841207</v>
      </c>
      <c r="O7" s="9">
        <f t="shared" si="1"/>
        <v>0.57390130521830374</v>
      </c>
      <c r="P7" s="9">
        <f t="shared" si="2"/>
        <v>0.90925479480242444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</row>
    <row r="8" spans="2:40" x14ac:dyDescent="0.2">
      <c r="B8" t="s">
        <v>2</v>
      </c>
      <c r="C8">
        <f>H10</f>
        <v>0.49999950004999999</v>
      </c>
      <c r="G8">
        <f>-G15</f>
        <v>-0.5</v>
      </c>
      <c r="H8" s="1">
        <f>-H15</f>
        <v>-4.9999999999999998E-7</v>
      </c>
      <c r="M8" s="9">
        <v>0.1</v>
      </c>
      <c r="N8" s="9">
        <f t="shared" si="0"/>
        <v>0.33408982587395131</v>
      </c>
      <c r="O8" s="9">
        <f t="shared" si="1"/>
        <v>0.57263764150813445</v>
      </c>
      <c r="P8" s="9">
        <f t="shared" si="2"/>
        <v>0.90672746738208576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</row>
    <row r="9" spans="2:40" x14ac:dyDescent="0.2">
      <c r="B9" t="s">
        <v>4</v>
      </c>
      <c r="C9" s="3">
        <f>C3/C6*H24</f>
        <v>0.47703999999999441</v>
      </c>
      <c r="G9">
        <f>-G16</f>
        <v>0.5</v>
      </c>
      <c r="H9" s="1">
        <f>-H16</f>
        <v>5.0000000000000002E-11</v>
      </c>
      <c r="M9" s="9">
        <v>0.12</v>
      </c>
      <c r="N9" s="9">
        <f t="shared" si="0"/>
        <v>0.33276133125342933</v>
      </c>
      <c r="O9" s="9">
        <f t="shared" si="1"/>
        <v>0.57130914688761247</v>
      </c>
      <c r="P9" s="9">
        <f t="shared" si="2"/>
        <v>0.9040704781410418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</row>
    <row r="10" spans="2:40" x14ac:dyDescent="0.2">
      <c r="B10" t="s">
        <v>16</v>
      </c>
      <c r="C10" s="2">
        <f>C9*C21</f>
        <v>-23.56234521884037</v>
      </c>
      <c r="G10" t="s">
        <v>14</v>
      </c>
      <c r="H10">
        <f>SUM(H6:H9)</f>
        <v>0.49999950004999999</v>
      </c>
      <c r="M10" s="9">
        <v>0.14000000000000001</v>
      </c>
      <c r="N10" s="9">
        <f t="shared" si="0"/>
        <v>0.33136099211599085</v>
      </c>
      <c r="O10" s="9">
        <f t="shared" si="1"/>
        <v>0.56990880775017394</v>
      </c>
      <c r="P10" s="9">
        <f t="shared" si="2"/>
        <v>0.90126979986616473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</row>
    <row r="11" spans="2:40" x14ac:dyDescent="0.2">
      <c r="C11" s="1"/>
      <c r="G11" s="1" t="s">
        <v>13</v>
      </c>
      <c r="H11" s="6">
        <f>1-H18</f>
        <v>0.49999950005000005</v>
      </c>
      <c r="M11" s="9">
        <v>0.16</v>
      </c>
      <c r="N11" s="9">
        <f t="shared" si="0"/>
        <v>0.3298805913137578</v>
      </c>
      <c r="O11" s="9">
        <f t="shared" si="1"/>
        <v>0.56842840694794095</v>
      </c>
      <c r="P11" s="9">
        <f t="shared" si="2"/>
        <v>0.89830899826169874</v>
      </c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</row>
    <row r="12" spans="2:40" x14ac:dyDescent="0.2">
      <c r="C12" s="1"/>
      <c r="M12" s="9">
        <v>0.18</v>
      </c>
      <c r="N12" s="9">
        <f t="shared" si="0"/>
        <v>0.32831041598946131</v>
      </c>
      <c r="O12" s="9">
        <f t="shared" si="1"/>
        <v>0.56685823162364446</v>
      </c>
      <c r="P12" s="9">
        <f t="shared" si="2"/>
        <v>0.89516864761310577</v>
      </c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</row>
    <row r="13" spans="2:40" x14ac:dyDescent="0.2">
      <c r="B13" t="s">
        <v>10</v>
      </c>
      <c r="C13" s="7">
        <v>1</v>
      </c>
      <c r="G13">
        <f>H4</f>
        <v>0.5</v>
      </c>
      <c r="H13">
        <f>G13*C2</f>
        <v>0.5</v>
      </c>
      <c r="M13" s="9">
        <v>0.2</v>
      </c>
      <c r="N13" s="9">
        <f t="shared" si="0"/>
        <v>0.3266388709901803</v>
      </c>
      <c r="O13" s="9">
        <f t="shared" si="1"/>
        <v>0.56518668662436333</v>
      </c>
      <c r="P13" s="9">
        <f t="shared" si="2"/>
        <v>0.89182555761454363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</row>
    <row r="14" spans="2:40" x14ac:dyDescent="0.2">
      <c r="B14" t="s">
        <v>7</v>
      </c>
      <c r="C14" s="8">
        <v>1E-10</v>
      </c>
      <c r="G14">
        <f>H4-H3</f>
        <v>0</v>
      </c>
      <c r="H14" s="5">
        <f>G14*C21</f>
        <v>0</v>
      </c>
      <c r="M14" s="9">
        <v>0.22</v>
      </c>
      <c r="N14" s="9">
        <f t="shared" si="0"/>
        <v>0.3248519587023046</v>
      </c>
      <c r="O14" s="9">
        <f t="shared" si="1"/>
        <v>0.56339977433648769</v>
      </c>
      <c r="P14" s="9">
        <f t="shared" si="2"/>
        <v>0.88825173303879223</v>
      </c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2:40" x14ac:dyDescent="0.2">
      <c r="B15" t="s">
        <v>3</v>
      </c>
      <c r="C15">
        <f>H17</f>
        <v>0.50000049994999995</v>
      </c>
      <c r="G15">
        <f>H4</f>
        <v>0.5</v>
      </c>
      <c r="H15" s="1">
        <f>G15*C7</f>
        <v>4.9999999999999998E-7</v>
      </c>
      <c r="M15" s="9">
        <v>0.24</v>
      </c>
      <c r="N15" s="9">
        <f t="shared" si="0"/>
        <v>0.32293256578156465</v>
      </c>
      <c r="O15" s="9">
        <f t="shared" si="1"/>
        <v>0.56148038141574774</v>
      </c>
      <c r="P15" s="9">
        <f t="shared" si="2"/>
        <v>0.88441294719731234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</row>
    <row r="16" spans="2:40" x14ac:dyDescent="0.2">
      <c r="B16" t="s">
        <v>5</v>
      </c>
      <c r="C16" s="3">
        <f>C3/C13*H25</f>
        <v>0.37296000000000001</v>
      </c>
      <c r="G16">
        <f>-H3</f>
        <v>-0.5</v>
      </c>
      <c r="H16" s="1">
        <f>G16*C14</f>
        <v>-5.0000000000000002E-11</v>
      </c>
      <c r="M16" s="9">
        <v>0.26</v>
      </c>
      <c r="N16" s="9">
        <f t="shared" si="0"/>
        <v>0.32085946380386787</v>
      </c>
      <c r="O16" s="9">
        <f t="shared" si="1"/>
        <v>0.55940727943805102</v>
      </c>
      <c r="P16" s="9">
        <f t="shared" si="2"/>
        <v>0.88026674324191889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</row>
    <row r="17" spans="2:40" x14ac:dyDescent="0.2">
      <c r="B17" t="s">
        <v>17</v>
      </c>
      <c r="C17">
        <f>C16*C21</f>
        <v>-18.421541742450966</v>
      </c>
      <c r="G17" t="s">
        <v>15</v>
      </c>
      <c r="H17">
        <f>SUM(H13:H16)</f>
        <v>0.50000049994999995</v>
      </c>
      <c r="M17" s="9">
        <v>0.28000000000000003</v>
      </c>
      <c r="N17" s="9">
        <f t="shared" si="0"/>
        <v>0.31860587404561935</v>
      </c>
      <c r="O17" s="9">
        <f t="shared" si="1"/>
        <v>0.5571536896798025</v>
      </c>
      <c r="P17" s="9">
        <f t="shared" si="2"/>
        <v>0.87575956372542185</v>
      </c>
    </row>
    <row r="18" spans="2:40" x14ac:dyDescent="0.2">
      <c r="G18" s="1" t="s">
        <v>12</v>
      </c>
      <c r="H18" s="6">
        <f>H17/Sheet1!C2</f>
        <v>0.50000049994999995</v>
      </c>
      <c r="M18" s="9">
        <v>0.3</v>
      </c>
      <c r="N18" s="9">
        <f t="shared" si="0"/>
        <v>0.31613734627562551</v>
      </c>
      <c r="O18" s="9">
        <f t="shared" si="1"/>
        <v>0.55468516190980865</v>
      </c>
      <c r="P18" s="9">
        <f t="shared" si="2"/>
        <v>0.87082250818543416</v>
      </c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</row>
    <row r="19" spans="2:40" x14ac:dyDescent="0.2">
      <c r="J19" t="s">
        <v>31</v>
      </c>
      <c r="K19">
        <f>C6+C13</f>
        <v>2</v>
      </c>
      <c r="M19" s="9">
        <v>0.32</v>
      </c>
      <c r="N19" s="9">
        <f t="shared" si="0"/>
        <v>0.31340851611523274</v>
      </c>
      <c r="O19" s="9">
        <f t="shared" si="1"/>
        <v>0.55195633174941583</v>
      </c>
      <c r="P19" s="9">
        <f t="shared" si="2"/>
        <v>0.86536484786464851</v>
      </c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</row>
    <row r="20" spans="2:40" x14ac:dyDescent="0.2">
      <c r="B20" t="s">
        <v>19</v>
      </c>
      <c r="C20" s="3">
        <v>0.85</v>
      </c>
      <c r="G20" t="s">
        <v>22</v>
      </c>
      <c r="H20" s="2">
        <f>C8-C7+0.000000000001</f>
        <v>0.49999850005099999</v>
      </c>
      <c r="J20" t="s">
        <v>29</v>
      </c>
      <c r="K20">
        <f>C6/K19</f>
        <v>0.5</v>
      </c>
      <c r="M20" s="9">
        <v>0.34</v>
      </c>
      <c r="N20" s="9">
        <f t="shared" si="0"/>
        <v>0.31035794448566073</v>
      </c>
      <c r="O20" s="9">
        <f t="shared" si="1"/>
        <v>0.54890576011984382</v>
      </c>
      <c r="P20" s="9">
        <f t="shared" si="2"/>
        <v>0.8592637046055045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</row>
    <row r="21" spans="2:40" x14ac:dyDescent="0.2">
      <c r="B21" t="s">
        <v>8</v>
      </c>
      <c r="C21" s="10">
        <f>H30</f>
        <v>-49.392808189754838</v>
      </c>
      <c r="G21" t="s">
        <v>23</v>
      </c>
      <c r="H21" s="2">
        <f>C15-C14+0.000000000001</f>
        <v>0.50000049985099992</v>
      </c>
      <c r="J21" t="s">
        <v>30</v>
      </c>
      <c r="K21">
        <f>C13/K19</f>
        <v>0.5</v>
      </c>
      <c r="M21" s="9">
        <v>0.36</v>
      </c>
      <c r="N21" s="9">
        <f t="shared" si="0"/>
        <v>0.30689949298030311</v>
      </c>
      <c r="O21" s="9">
        <f t="shared" si="1"/>
        <v>0.54544730861448631</v>
      </c>
      <c r="P21" s="9">
        <f t="shared" si="2"/>
        <v>0.85234680159478948</v>
      </c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</row>
    <row r="22" spans="2:40" x14ac:dyDescent="0.2">
      <c r="B22" t="s">
        <v>18</v>
      </c>
      <c r="C22" s="4">
        <f>C21*C20</f>
        <v>-41.98388696129161</v>
      </c>
      <c r="H22" s="1"/>
      <c r="M22" s="9">
        <v>0.38</v>
      </c>
      <c r="N22" s="9">
        <f t="shared" si="0"/>
        <v>0.30290700579092578</v>
      </c>
      <c r="O22" s="9">
        <f t="shared" si="1"/>
        <v>0.54145482142510892</v>
      </c>
      <c r="P22" s="9">
        <f t="shared" si="2"/>
        <v>0.8443618272160347</v>
      </c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2:40" x14ac:dyDescent="0.2">
      <c r="H23" s="1"/>
      <c r="M23" s="9">
        <v>0.4</v>
      </c>
      <c r="N23" s="9">
        <f t="shared" si="0"/>
        <v>0.29818489905535511</v>
      </c>
      <c r="O23" s="9">
        <f t="shared" si="1"/>
        <v>0.5367327146895382</v>
      </c>
      <c r="P23" s="9">
        <f t="shared" si="2"/>
        <v>0.83491761374489326</v>
      </c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2:40" x14ac:dyDescent="0.2">
      <c r="B24" t="s">
        <v>21</v>
      </c>
      <c r="C24">
        <v>0.4</v>
      </c>
      <c r="G24" t="s">
        <v>24</v>
      </c>
      <c r="H24" s="2">
        <v>18.418532818532604</v>
      </c>
      <c r="K24">
        <f>EXP(H24/C6)</f>
        <v>99785437.972132415</v>
      </c>
      <c r="M24" s="9">
        <v>0.42</v>
      </c>
      <c r="N24" s="9">
        <f t="shared" si="0"/>
        <v>0.29240551345437243</v>
      </c>
      <c r="O24" s="9">
        <f t="shared" si="1"/>
        <v>0.53095332908855553</v>
      </c>
      <c r="P24" s="9">
        <f t="shared" si="2"/>
        <v>0.8233588425429279</v>
      </c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2:40" x14ac:dyDescent="0.2">
      <c r="G25" t="s">
        <v>25</v>
      </c>
      <c r="H25" s="2">
        <v>14.4</v>
      </c>
      <c r="K25">
        <f>EXP(H25/C13)</f>
        <v>1794074.772606215</v>
      </c>
      <c r="M25" s="9">
        <v>0.44</v>
      </c>
      <c r="N25" s="9">
        <f t="shared" si="0"/>
        <v>0.28495460174120696</v>
      </c>
      <c r="O25" s="9">
        <f t="shared" si="1"/>
        <v>0.52350241737539005</v>
      </c>
      <c r="P25" s="9">
        <f t="shared" si="2"/>
        <v>0.80845701911659695</v>
      </c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2:40" x14ac:dyDescent="0.2">
      <c r="B26" s="1"/>
      <c r="G26" t="s">
        <v>26</v>
      </c>
      <c r="H26" s="2">
        <f>C20/C3</f>
        <v>32.818532818532816</v>
      </c>
      <c r="M26" s="9">
        <v>0.46</v>
      </c>
      <c r="N26" s="9">
        <f t="shared" si="0"/>
        <v>0.27445316336753944</v>
      </c>
      <c r="O26" s="9">
        <f t="shared" si="1"/>
        <v>0.51300097900172259</v>
      </c>
      <c r="P26" s="9">
        <f t="shared" si="2"/>
        <v>0.78745414236926203</v>
      </c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</row>
    <row r="27" spans="2:40" x14ac:dyDescent="0.2">
      <c r="B27" s="1"/>
      <c r="H27" s="2"/>
      <c r="M27" s="9">
        <v>0.48</v>
      </c>
      <c r="N27" s="9">
        <f t="shared" si="0"/>
        <v>0.25650097516734049</v>
      </c>
      <c r="O27" s="9">
        <f t="shared" si="1"/>
        <v>0.49504879080152359</v>
      </c>
      <c r="P27" s="9">
        <f t="shared" si="2"/>
        <v>0.75154976596886414</v>
      </c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</row>
    <row r="28" spans="2:40" x14ac:dyDescent="0.2">
      <c r="B28" s="1"/>
      <c r="C28" s="3">
        <f>C9+C16</f>
        <v>0.84999999999999443</v>
      </c>
      <c r="G28" t="s">
        <v>27</v>
      </c>
      <c r="H28" s="2">
        <f>C2/2-C7*(EXP(H24/C6)-1)</f>
        <v>-99.285436972132416</v>
      </c>
      <c r="J28">
        <f>H3/(1+H4-H3)</f>
        <v>0.5</v>
      </c>
      <c r="K28">
        <f>(H3+1+EXP(H24/C6))/(1+(H4-H3))</f>
        <v>99785439.472132415</v>
      </c>
      <c r="M28" s="9">
        <v>0.5</v>
      </c>
      <c r="N28" s="9">
        <f t="shared" si="0"/>
        <v>-1.7949922106524373E-2</v>
      </c>
      <c r="O28" s="9">
        <f t="shared" si="1"/>
        <v>0.22059789352584441</v>
      </c>
      <c r="P28" s="9">
        <f t="shared" si="2"/>
        <v>0.20264797141932003</v>
      </c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</row>
    <row r="29" spans="2:40" x14ac:dyDescent="0.2">
      <c r="C29" s="3">
        <f>C20-C28</f>
        <v>5.5511151231257827E-15</v>
      </c>
      <c r="G29" t="s">
        <v>28</v>
      </c>
      <c r="H29" s="2">
        <f>C2/2-C14*(EXP(H25/C13)-1)</f>
        <v>0.49982059262273937</v>
      </c>
      <c r="J29">
        <f>H3/(1-(H4-H3))</f>
        <v>0.5</v>
      </c>
      <c r="K29">
        <f>(H3+1-EXP(H25/C13))/(1-(H4-H3))</f>
        <v>-1794073.272606215</v>
      </c>
      <c r="M29" s="9">
        <v>0.52</v>
      </c>
      <c r="N29" s="9" t="e">
        <f t="shared" si="0"/>
        <v>#NUM!</v>
      </c>
      <c r="O29" s="9" t="e">
        <f t="shared" si="1"/>
        <v>#NUM!</v>
      </c>
      <c r="P29" s="9" t="e">
        <f t="shared" si="2"/>
        <v>#NUM!</v>
      </c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</row>
    <row r="30" spans="2:40" x14ac:dyDescent="0.2">
      <c r="G30" t="s">
        <v>32</v>
      </c>
      <c r="H30" s="9">
        <f>(H28+H29)/2</f>
        <v>-49.392808189754838</v>
      </c>
      <c r="M30" s="9">
        <v>0.54</v>
      </c>
      <c r="N30" s="9" t="e">
        <f t="shared" si="0"/>
        <v>#NUM!</v>
      </c>
      <c r="O30" s="9" t="e">
        <f t="shared" si="1"/>
        <v>#NUM!</v>
      </c>
      <c r="P30" s="9" t="e">
        <f t="shared" si="2"/>
        <v>#NUM!</v>
      </c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</row>
    <row r="31" spans="2:40" x14ac:dyDescent="0.2">
      <c r="H31" s="1"/>
      <c r="M31" s="9">
        <v>0.56000000000000005</v>
      </c>
      <c r="N31" s="9" t="e">
        <f t="shared" si="0"/>
        <v>#NUM!</v>
      </c>
      <c r="O31" s="9" t="e">
        <f t="shared" si="1"/>
        <v>#NUM!</v>
      </c>
      <c r="P31" s="9" t="e">
        <f t="shared" si="2"/>
        <v>#NUM!</v>
      </c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</row>
    <row r="32" spans="2:40" x14ac:dyDescent="0.2">
      <c r="H32" s="1"/>
      <c r="M32" s="9">
        <v>0.57999999999999996</v>
      </c>
      <c r="N32" s="9" t="e">
        <f t="shared" si="0"/>
        <v>#NUM!</v>
      </c>
      <c r="O32" s="9" t="e">
        <f t="shared" si="1"/>
        <v>#NUM!</v>
      </c>
      <c r="P32" s="9" t="e">
        <f t="shared" si="2"/>
        <v>#NUM!</v>
      </c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</row>
    <row r="33" spans="8:37" x14ac:dyDescent="0.2">
      <c r="H33" s="1"/>
      <c r="M33" s="9">
        <v>0.6</v>
      </c>
      <c r="N33" s="9" t="e">
        <f t="shared" si="0"/>
        <v>#NUM!</v>
      </c>
      <c r="O33" s="9" t="e">
        <f t="shared" si="1"/>
        <v>#NUM!</v>
      </c>
      <c r="P33" s="9" t="e">
        <f t="shared" si="2"/>
        <v>#NUM!</v>
      </c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</row>
    <row r="34" spans="8:37" x14ac:dyDescent="0.2">
      <c r="H34" s="1"/>
      <c r="M34" s="9">
        <v>0.62</v>
      </c>
      <c r="N34" s="9" t="e">
        <f t="shared" si="0"/>
        <v>#NUM!</v>
      </c>
      <c r="O34" s="9" t="e">
        <f t="shared" si="1"/>
        <v>#NUM!</v>
      </c>
      <c r="P34" s="9" t="e">
        <f t="shared" si="2"/>
        <v>#NUM!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</row>
    <row r="35" spans="8:37" x14ac:dyDescent="0.2">
      <c r="H35" s="1"/>
      <c r="M35" s="9">
        <v>0.64</v>
      </c>
      <c r="N35" s="9" t="e">
        <f t="shared" ref="N35:N66" si="3">C$3*C$6*LN((C$8-M35)/C$7+1)</f>
        <v>#NUM!</v>
      </c>
      <c r="O35" s="9" t="e">
        <f t="shared" ref="O35:O66" si="4">C$3*C$13*LN((C$15-M35)/C$14+1)</f>
        <v>#NUM!</v>
      </c>
      <c r="P35" s="9" t="e">
        <f t="shared" si="2"/>
        <v>#NUM!</v>
      </c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</row>
    <row r="36" spans="8:37" x14ac:dyDescent="0.2">
      <c r="H36" s="1"/>
      <c r="M36" s="9">
        <v>0.66</v>
      </c>
      <c r="N36" s="9" t="e">
        <f t="shared" si="3"/>
        <v>#NUM!</v>
      </c>
      <c r="O36" s="9" t="e">
        <f t="shared" si="4"/>
        <v>#NUM!</v>
      </c>
      <c r="P36" s="9" t="e">
        <f t="shared" si="2"/>
        <v>#NUM!</v>
      </c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</row>
    <row r="37" spans="8:37" x14ac:dyDescent="0.2">
      <c r="H37" s="1"/>
      <c r="M37" s="9">
        <v>0.68</v>
      </c>
      <c r="N37" s="9" t="e">
        <f t="shared" si="3"/>
        <v>#NUM!</v>
      </c>
      <c r="O37" s="9" t="e">
        <f t="shared" si="4"/>
        <v>#NUM!</v>
      </c>
      <c r="P37" s="9" t="e">
        <f t="shared" si="2"/>
        <v>#NUM!</v>
      </c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</row>
    <row r="38" spans="8:37" x14ac:dyDescent="0.2">
      <c r="H38" s="1"/>
      <c r="M38" s="9">
        <v>0.70000000000000007</v>
      </c>
      <c r="N38" s="9" t="e">
        <f t="shared" si="3"/>
        <v>#NUM!</v>
      </c>
      <c r="O38" s="9" t="e">
        <f t="shared" si="4"/>
        <v>#NUM!</v>
      </c>
      <c r="P38" s="9" t="e">
        <f t="shared" si="2"/>
        <v>#NUM!</v>
      </c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</row>
    <row r="39" spans="8:37" x14ac:dyDescent="0.2">
      <c r="H39" s="1"/>
      <c r="M39" s="9">
        <v>0.72</v>
      </c>
      <c r="N39" s="9" t="e">
        <f t="shared" si="3"/>
        <v>#NUM!</v>
      </c>
      <c r="O39" s="9" t="e">
        <f t="shared" si="4"/>
        <v>#NUM!</v>
      </c>
      <c r="P39" s="9" t="e">
        <f t="shared" si="2"/>
        <v>#NUM!</v>
      </c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</row>
    <row r="40" spans="8:37" x14ac:dyDescent="0.2">
      <c r="H40" s="1"/>
      <c r="M40" s="9">
        <v>0.74</v>
      </c>
      <c r="N40" s="9" t="e">
        <f t="shared" si="3"/>
        <v>#NUM!</v>
      </c>
      <c r="O40" s="9" t="e">
        <f t="shared" si="4"/>
        <v>#NUM!</v>
      </c>
      <c r="P40" s="9" t="e">
        <f t="shared" si="2"/>
        <v>#NUM!</v>
      </c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</row>
    <row r="41" spans="8:37" x14ac:dyDescent="0.2">
      <c r="H41" s="1"/>
      <c r="M41" s="9">
        <v>0.76</v>
      </c>
      <c r="N41" s="9" t="e">
        <f t="shared" si="3"/>
        <v>#NUM!</v>
      </c>
      <c r="O41" s="9" t="e">
        <f t="shared" si="4"/>
        <v>#NUM!</v>
      </c>
      <c r="P41" s="9" t="e">
        <f t="shared" si="2"/>
        <v>#NUM!</v>
      </c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8:37" x14ac:dyDescent="0.2">
      <c r="H42" s="1"/>
      <c r="M42" s="9">
        <v>0.78</v>
      </c>
      <c r="N42" s="9" t="e">
        <f t="shared" si="3"/>
        <v>#NUM!</v>
      </c>
      <c r="O42" s="9" t="e">
        <f t="shared" si="4"/>
        <v>#NUM!</v>
      </c>
      <c r="P42" s="9" t="e">
        <f t="shared" si="2"/>
        <v>#NUM!</v>
      </c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8:37" x14ac:dyDescent="0.2">
      <c r="H43" s="1"/>
      <c r="M43" s="9">
        <v>0.8</v>
      </c>
      <c r="N43" s="9" t="e">
        <f t="shared" si="3"/>
        <v>#NUM!</v>
      </c>
      <c r="O43" s="9" t="e">
        <f t="shared" si="4"/>
        <v>#NUM!</v>
      </c>
      <c r="P43" s="9" t="e">
        <f t="shared" si="2"/>
        <v>#NUM!</v>
      </c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8:37" x14ac:dyDescent="0.2">
      <c r="H44" s="1"/>
      <c r="M44" s="9">
        <v>0.82000000000000006</v>
      </c>
      <c r="N44" s="9" t="e">
        <f t="shared" si="3"/>
        <v>#NUM!</v>
      </c>
      <c r="O44" s="9" t="e">
        <f t="shared" si="4"/>
        <v>#NUM!</v>
      </c>
      <c r="P44" s="9" t="e">
        <f t="shared" si="2"/>
        <v>#NUM!</v>
      </c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8:37" x14ac:dyDescent="0.2">
      <c r="H45" s="1"/>
      <c r="M45" s="9">
        <v>0.84</v>
      </c>
      <c r="N45" s="9" t="e">
        <f t="shared" si="3"/>
        <v>#NUM!</v>
      </c>
      <c r="O45" s="9" t="e">
        <f t="shared" si="4"/>
        <v>#NUM!</v>
      </c>
      <c r="P45" s="9" t="e">
        <f t="shared" si="2"/>
        <v>#NUM!</v>
      </c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8:37" x14ac:dyDescent="0.2">
      <c r="H46" s="1"/>
      <c r="M46" s="9">
        <v>0.86</v>
      </c>
      <c r="N46" s="9" t="e">
        <f t="shared" si="3"/>
        <v>#NUM!</v>
      </c>
      <c r="O46" s="9" t="e">
        <f t="shared" si="4"/>
        <v>#NUM!</v>
      </c>
      <c r="P46" s="9" t="e">
        <f t="shared" si="2"/>
        <v>#NUM!</v>
      </c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</row>
    <row r="47" spans="8:37" x14ac:dyDescent="0.2">
      <c r="H47" s="1"/>
      <c r="M47" s="9">
        <v>0.88</v>
      </c>
      <c r="N47" s="9" t="e">
        <f t="shared" si="3"/>
        <v>#NUM!</v>
      </c>
      <c r="O47" s="9" t="e">
        <f t="shared" si="4"/>
        <v>#NUM!</v>
      </c>
      <c r="P47" s="9" t="e">
        <f t="shared" si="2"/>
        <v>#NUM!</v>
      </c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</row>
    <row r="48" spans="8:37" x14ac:dyDescent="0.2">
      <c r="H48" s="1"/>
      <c r="M48" s="9">
        <v>0.9</v>
      </c>
      <c r="N48" s="9" t="e">
        <f t="shared" si="3"/>
        <v>#NUM!</v>
      </c>
      <c r="O48" s="9" t="e">
        <f t="shared" si="4"/>
        <v>#NUM!</v>
      </c>
      <c r="P48" s="9" t="e">
        <f t="shared" si="2"/>
        <v>#NUM!</v>
      </c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8:37" x14ac:dyDescent="0.2">
      <c r="H49" s="1"/>
      <c r="M49" s="9">
        <v>0.92</v>
      </c>
      <c r="N49" s="9" t="e">
        <f t="shared" si="3"/>
        <v>#NUM!</v>
      </c>
      <c r="O49" s="9" t="e">
        <f t="shared" si="4"/>
        <v>#NUM!</v>
      </c>
      <c r="P49" s="9" t="e">
        <f t="shared" si="2"/>
        <v>#NUM!</v>
      </c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</row>
    <row r="50" spans="8:37" x14ac:dyDescent="0.2">
      <c r="H50" s="1"/>
      <c r="M50" s="9">
        <v>0.94000000000000006</v>
      </c>
      <c r="N50" s="9" t="e">
        <f t="shared" si="3"/>
        <v>#NUM!</v>
      </c>
      <c r="O50" s="9" t="e">
        <f t="shared" si="4"/>
        <v>#NUM!</v>
      </c>
      <c r="P50" s="9" t="e">
        <f t="shared" si="2"/>
        <v>#NUM!</v>
      </c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</row>
    <row r="51" spans="8:37" x14ac:dyDescent="0.2">
      <c r="H51" s="1"/>
      <c r="M51" s="9">
        <v>0.96</v>
      </c>
      <c r="N51" s="9" t="e">
        <f t="shared" si="3"/>
        <v>#NUM!</v>
      </c>
      <c r="O51" s="9" t="e">
        <f t="shared" si="4"/>
        <v>#NUM!</v>
      </c>
      <c r="P51" s="9" t="e">
        <f t="shared" si="2"/>
        <v>#NUM!</v>
      </c>
    </row>
    <row r="52" spans="8:37" x14ac:dyDescent="0.2">
      <c r="H52" s="1"/>
      <c r="M52" s="9">
        <v>0.98</v>
      </c>
      <c r="N52" s="9" t="e">
        <f t="shared" si="3"/>
        <v>#NUM!</v>
      </c>
      <c r="O52" s="9" t="e">
        <f t="shared" si="4"/>
        <v>#NUM!</v>
      </c>
      <c r="P52" s="9" t="e">
        <f t="shared" si="2"/>
        <v>#NUM!</v>
      </c>
    </row>
    <row r="53" spans="8:37" x14ac:dyDescent="0.2">
      <c r="H53" s="1"/>
      <c r="M53" s="9">
        <v>1</v>
      </c>
      <c r="N53" s="9" t="e">
        <f t="shared" si="3"/>
        <v>#NUM!</v>
      </c>
      <c r="O53" s="9" t="e">
        <f t="shared" si="4"/>
        <v>#NUM!</v>
      </c>
      <c r="P53" s="9" t="e">
        <f t="shared" si="2"/>
        <v>#NUM!</v>
      </c>
    </row>
    <row r="54" spans="8:37" x14ac:dyDescent="0.2">
      <c r="H54" s="1"/>
      <c r="M54" s="9">
        <v>1.02</v>
      </c>
      <c r="N54" s="9" t="e">
        <f t="shared" si="3"/>
        <v>#NUM!</v>
      </c>
      <c r="O54" s="9" t="e">
        <f t="shared" si="4"/>
        <v>#NUM!</v>
      </c>
      <c r="P54" s="9" t="e">
        <f t="shared" si="2"/>
        <v>#NUM!</v>
      </c>
    </row>
    <row r="55" spans="8:37" x14ac:dyDescent="0.2">
      <c r="H55" s="1"/>
      <c r="M55" s="9">
        <v>1.04</v>
      </c>
      <c r="N55" s="9" t="e">
        <f t="shared" si="3"/>
        <v>#NUM!</v>
      </c>
      <c r="O55" s="9" t="e">
        <f t="shared" si="4"/>
        <v>#NUM!</v>
      </c>
      <c r="P55" s="9" t="e">
        <f t="shared" si="2"/>
        <v>#NUM!</v>
      </c>
    </row>
    <row r="56" spans="8:37" x14ac:dyDescent="0.2">
      <c r="H56" s="1"/>
      <c r="M56" s="9">
        <v>1.06</v>
      </c>
      <c r="N56" s="9" t="e">
        <f t="shared" si="3"/>
        <v>#NUM!</v>
      </c>
      <c r="O56" s="9" t="e">
        <f t="shared" si="4"/>
        <v>#NUM!</v>
      </c>
      <c r="P56" s="9" t="e">
        <f t="shared" si="2"/>
        <v>#NUM!</v>
      </c>
    </row>
    <row r="57" spans="8:37" x14ac:dyDescent="0.2">
      <c r="H57" s="1"/>
      <c r="M57" s="9">
        <v>1.08</v>
      </c>
      <c r="N57" s="9" t="e">
        <f t="shared" si="3"/>
        <v>#NUM!</v>
      </c>
      <c r="O57" s="9" t="e">
        <f t="shared" si="4"/>
        <v>#NUM!</v>
      </c>
      <c r="P57" s="9" t="e">
        <f t="shared" si="2"/>
        <v>#NUM!</v>
      </c>
    </row>
    <row r="58" spans="8:37" x14ac:dyDescent="0.2">
      <c r="H58" s="1"/>
      <c r="M58" s="9">
        <v>1.1000000000000001</v>
      </c>
      <c r="N58" s="9" t="e">
        <f t="shared" si="3"/>
        <v>#NUM!</v>
      </c>
      <c r="O58" s="9" t="e">
        <f t="shared" si="4"/>
        <v>#NUM!</v>
      </c>
      <c r="P58" s="9" t="e">
        <f t="shared" si="2"/>
        <v>#NUM!</v>
      </c>
    </row>
    <row r="59" spans="8:37" x14ac:dyDescent="0.2">
      <c r="H59" s="1"/>
      <c r="M59" s="9">
        <v>1.1200000000000001</v>
      </c>
      <c r="N59" s="9" t="e">
        <f t="shared" si="3"/>
        <v>#NUM!</v>
      </c>
      <c r="O59" s="9" t="e">
        <f t="shared" si="4"/>
        <v>#NUM!</v>
      </c>
      <c r="P59" s="9" t="e">
        <f t="shared" si="2"/>
        <v>#NUM!</v>
      </c>
    </row>
    <row r="60" spans="8:37" x14ac:dyDescent="0.2">
      <c r="H60" s="1"/>
      <c r="M60" s="9">
        <v>1.1400000000000001</v>
      </c>
      <c r="N60" s="9" t="e">
        <f t="shared" si="3"/>
        <v>#NUM!</v>
      </c>
      <c r="O60" s="9" t="e">
        <f t="shared" si="4"/>
        <v>#NUM!</v>
      </c>
      <c r="P60" s="9" t="e">
        <f t="shared" si="2"/>
        <v>#NUM!</v>
      </c>
    </row>
    <row r="61" spans="8:37" x14ac:dyDescent="0.2">
      <c r="H61" s="1"/>
      <c r="M61" s="9">
        <v>1.1599999999999999</v>
      </c>
      <c r="N61" s="9" t="e">
        <f t="shared" si="3"/>
        <v>#NUM!</v>
      </c>
      <c r="O61" s="9" t="e">
        <f t="shared" si="4"/>
        <v>#NUM!</v>
      </c>
      <c r="P61" s="9" t="e">
        <f t="shared" si="2"/>
        <v>#NUM!</v>
      </c>
    </row>
    <row r="62" spans="8:37" x14ac:dyDescent="0.2">
      <c r="H62" s="1"/>
      <c r="M62" s="9">
        <v>1.18</v>
      </c>
      <c r="N62" s="9" t="e">
        <f t="shared" si="3"/>
        <v>#NUM!</v>
      </c>
      <c r="O62" s="9" t="e">
        <f t="shared" si="4"/>
        <v>#NUM!</v>
      </c>
      <c r="P62" s="9" t="e">
        <f t="shared" si="2"/>
        <v>#NUM!</v>
      </c>
    </row>
    <row r="63" spans="8:37" x14ac:dyDescent="0.2">
      <c r="H63" s="1"/>
      <c r="M63" s="9">
        <v>1.2</v>
      </c>
      <c r="N63" s="9" t="e">
        <f t="shared" si="3"/>
        <v>#NUM!</v>
      </c>
      <c r="O63" s="9" t="e">
        <f t="shared" si="4"/>
        <v>#NUM!</v>
      </c>
      <c r="P63" s="9" t="e">
        <f t="shared" si="2"/>
        <v>#NUM!</v>
      </c>
    </row>
    <row r="64" spans="8:37" x14ac:dyDescent="0.2">
      <c r="H64" s="1"/>
      <c r="M64" s="9">
        <v>1.22</v>
      </c>
      <c r="N64" s="9" t="e">
        <f t="shared" si="3"/>
        <v>#NUM!</v>
      </c>
      <c r="O64" s="9" t="e">
        <f t="shared" si="4"/>
        <v>#NUM!</v>
      </c>
      <c r="P64" s="9" t="e">
        <f t="shared" si="2"/>
        <v>#NUM!</v>
      </c>
    </row>
    <row r="65" spans="8:16" x14ac:dyDescent="0.2">
      <c r="H65" s="1"/>
      <c r="M65" s="9">
        <v>1.24</v>
      </c>
      <c r="N65" s="9" t="e">
        <f t="shared" si="3"/>
        <v>#NUM!</v>
      </c>
      <c r="O65" s="9" t="e">
        <f t="shared" si="4"/>
        <v>#NUM!</v>
      </c>
      <c r="P65" s="9" t="e">
        <f t="shared" si="2"/>
        <v>#NUM!</v>
      </c>
    </row>
    <row r="66" spans="8:16" x14ac:dyDescent="0.2">
      <c r="H66" s="1"/>
      <c r="M66" s="9">
        <v>1.26</v>
      </c>
      <c r="N66" s="9" t="e">
        <f t="shared" si="3"/>
        <v>#NUM!</v>
      </c>
      <c r="O66" s="9" t="e">
        <f t="shared" si="4"/>
        <v>#NUM!</v>
      </c>
      <c r="P66" s="9" t="e">
        <f t="shared" si="2"/>
        <v>#NUM!</v>
      </c>
    </row>
    <row r="67" spans="8:16" x14ac:dyDescent="0.2">
      <c r="H67" s="1"/>
      <c r="M67" s="9">
        <v>1.28</v>
      </c>
      <c r="N67" s="9" t="e">
        <f t="shared" ref="N67:N98" si="5">C$3*C$6*LN((C$8-M67)/C$7+1)</f>
        <v>#NUM!</v>
      </c>
      <c r="O67" s="9" t="e">
        <f t="shared" ref="O67:O103" si="6">C$3*C$13*LN((C$15-M67)/C$14+1)</f>
        <v>#NUM!</v>
      </c>
      <c r="P67" s="9" t="e">
        <f t="shared" si="2"/>
        <v>#NUM!</v>
      </c>
    </row>
    <row r="68" spans="8:16" x14ac:dyDescent="0.2">
      <c r="H68" s="1"/>
      <c r="M68" s="9">
        <v>1.3</v>
      </c>
      <c r="N68" s="9" t="e">
        <f t="shared" si="5"/>
        <v>#NUM!</v>
      </c>
      <c r="O68" s="9" t="e">
        <f t="shared" si="6"/>
        <v>#NUM!</v>
      </c>
      <c r="P68" s="9" t="e">
        <f t="shared" ref="P68:P103" si="7">N68+O68</f>
        <v>#NUM!</v>
      </c>
    </row>
    <row r="69" spans="8:16" x14ac:dyDescent="0.2">
      <c r="H69" s="1"/>
      <c r="M69" s="9">
        <v>1.32</v>
      </c>
      <c r="N69" s="9" t="e">
        <f t="shared" si="5"/>
        <v>#NUM!</v>
      </c>
      <c r="O69" s="9" t="e">
        <f t="shared" si="6"/>
        <v>#NUM!</v>
      </c>
      <c r="P69" s="9" t="e">
        <f t="shared" si="7"/>
        <v>#NUM!</v>
      </c>
    </row>
    <row r="70" spans="8:16" x14ac:dyDescent="0.2">
      <c r="H70" s="1"/>
      <c r="M70" s="9">
        <v>1.34</v>
      </c>
      <c r="N70" s="9" t="e">
        <f t="shared" si="5"/>
        <v>#NUM!</v>
      </c>
      <c r="O70" s="9" t="e">
        <f t="shared" si="6"/>
        <v>#NUM!</v>
      </c>
      <c r="P70" s="9" t="e">
        <f t="shared" si="7"/>
        <v>#NUM!</v>
      </c>
    </row>
    <row r="71" spans="8:16" x14ac:dyDescent="0.2">
      <c r="H71" s="1"/>
      <c r="M71" s="9">
        <v>1.36</v>
      </c>
      <c r="N71" s="9" t="e">
        <f t="shared" si="5"/>
        <v>#NUM!</v>
      </c>
      <c r="O71" s="9" t="e">
        <f t="shared" si="6"/>
        <v>#NUM!</v>
      </c>
      <c r="P71" s="9" t="e">
        <f t="shared" si="7"/>
        <v>#NUM!</v>
      </c>
    </row>
    <row r="72" spans="8:16" x14ac:dyDescent="0.2">
      <c r="H72" s="1"/>
      <c r="M72" s="9">
        <v>1.3800000000000001</v>
      </c>
      <c r="N72" s="9" t="e">
        <f t="shared" si="5"/>
        <v>#NUM!</v>
      </c>
      <c r="O72" s="9" t="e">
        <f t="shared" si="6"/>
        <v>#NUM!</v>
      </c>
      <c r="P72" s="9" t="e">
        <f t="shared" si="7"/>
        <v>#NUM!</v>
      </c>
    </row>
    <row r="73" spans="8:16" x14ac:dyDescent="0.2">
      <c r="H73" s="1"/>
      <c r="M73" s="9">
        <v>1.4000000000000001</v>
      </c>
      <c r="N73" s="9" t="e">
        <f t="shared" si="5"/>
        <v>#NUM!</v>
      </c>
      <c r="O73" s="9" t="e">
        <f t="shared" si="6"/>
        <v>#NUM!</v>
      </c>
      <c r="P73" s="9" t="e">
        <f t="shared" si="7"/>
        <v>#NUM!</v>
      </c>
    </row>
    <row r="74" spans="8:16" x14ac:dyDescent="0.2">
      <c r="H74" s="1"/>
      <c r="M74" s="9">
        <v>1.42</v>
      </c>
      <c r="N74" s="9" t="e">
        <f t="shared" si="5"/>
        <v>#NUM!</v>
      </c>
      <c r="O74" s="9" t="e">
        <f t="shared" si="6"/>
        <v>#NUM!</v>
      </c>
      <c r="P74" s="9" t="e">
        <f t="shared" si="7"/>
        <v>#NUM!</v>
      </c>
    </row>
    <row r="75" spans="8:16" x14ac:dyDescent="0.2">
      <c r="H75" s="1"/>
      <c r="M75" s="9">
        <v>1.44</v>
      </c>
      <c r="N75" s="9" t="e">
        <f t="shared" si="5"/>
        <v>#NUM!</v>
      </c>
      <c r="O75" s="9" t="e">
        <f t="shared" si="6"/>
        <v>#NUM!</v>
      </c>
      <c r="P75" s="9" t="e">
        <f t="shared" si="7"/>
        <v>#NUM!</v>
      </c>
    </row>
    <row r="76" spans="8:16" x14ac:dyDescent="0.2">
      <c r="H76" s="1"/>
      <c r="M76" s="9">
        <v>1.46</v>
      </c>
      <c r="N76" s="9" t="e">
        <f t="shared" si="5"/>
        <v>#NUM!</v>
      </c>
      <c r="O76" s="9" t="e">
        <f t="shared" si="6"/>
        <v>#NUM!</v>
      </c>
      <c r="P76" s="9" t="e">
        <f t="shared" si="7"/>
        <v>#NUM!</v>
      </c>
    </row>
    <row r="77" spans="8:16" x14ac:dyDescent="0.2">
      <c r="H77" s="1"/>
      <c r="M77" s="9">
        <v>1.48</v>
      </c>
      <c r="N77" s="9" t="e">
        <f t="shared" si="5"/>
        <v>#NUM!</v>
      </c>
      <c r="O77" s="9" t="e">
        <f t="shared" si="6"/>
        <v>#NUM!</v>
      </c>
      <c r="P77" s="9" t="e">
        <f t="shared" si="7"/>
        <v>#NUM!</v>
      </c>
    </row>
    <row r="78" spans="8:16" x14ac:dyDescent="0.2">
      <c r="H78" s="1"/>
      <c r="M78" s="9">
        <v>1.5</v>
      </c>
      <c r="N78" s="9" t="e">
        <f t="shared" si="5"/>
        <v>#NUM!</v>
      </c>
      <c r="O78" s="9" t="e">
        <f t="shared" si="6"/>
        <v>#NUM!</v>
      </c>
      <c r="P78" s="9" t="e">
        <f t="shared" si="7"/>
        <v>#NUM!</v>
      </c>
    </row>
    <row r="79" spans="8:16" x14ac:dyDescent="0.2">
      <c r="H79" s="1"/>
      <c r="M79" s="9">
        <v>1.52</v>
      </c>
      <c r="N79" s="9" t="e">
        <f t="shared" si="5"/>
        <v>#NUM!</v>
      </c>
      <c r="O79" s="9" t="e">
        <f t="shared" si="6"/>
        <v>#NUM!</v>
      </c>
      <c r="P79" s="9" t="e">
        <f t="shared" si="7"/>
        <v>#NUM!</v>
      </c>
    </row>
    <row r="80" spans="8:16" x14ac:dyDescent="0.2">
      <c r="H80" s="1"/>
      <c r="M80" s="9">
        <v>1.54</v>
      </c>
      <c r="N80" s="9" t="e">
        <f t="shared" si="5"/>
        <v>#NUM!</v>
      </c>
      <c r="O80" s="9" t="e">
        <f t="shared" si="6"/>
        <v>#NUM!</v>
      </c>
      <c r="P80" s="9" t="e">
        <f t="shared" si="7"/>
        <v>#NUM!</v>
      </c>
    </row>
    <row r="81" spans="8:16" x14ac:dyDescent="0.2">
      <c r="H81" s="1"/>
      <c r="M81" s="9">
        <v>1.56</v>
      </c>
      <c r="N81" s="9" t="e">
        <f t="shared" si="5"/>
        <v>#NUM!</v>
      </c>
      <c r="O81" s="9" t="e">
        <f t="shared" si="6"/>
        <v>#NUM!</v>
      </c>
      <c r="P81" s="9" t="e">
        <f t="shared" si="7"/>
        <v>#NUM!</v>
      </c>
    </row>
    <row r="82" spans="8:16" x14ac:dyDescent="0.2">
      <c r="H82" s="1"/>
      <c r="M82" s="9">
        <v>1.58</v>
      </c>
      <c r="N82" s="9" t="e">
        <f t="shared" si="5"/>
        <v>#NUM!</v>
      </c>
      <c r="O82" s="9" t="e">
        <f t="shared" si="6"/>
        <v>#NUM!</v>
      </c>
      <c r="P82" s="9" t="e">
        <f t="shared" si="7"/>
        <v>#NUM!</v>
      </c>
    </row>
    <row r="83" spans="8:16" x14ac:dyDescent="0.2">
      <c r="H83" s="1"/>
      <c r="M83" s="9">
        <v>1.6</v>
      </c>
      <c r="N83" s="9" t="e">
        <f t="shared" si="5"/>
        <v>#NUM!</v>
      </c>
      <c r="O83" s="9" t="e">
        <f t="shared" si="6"/>
        <v>#NUM!</v>
      </c>
      <c r="P83" s="9" t="e">
        <f t="shared" si="7"/>
        <v>#NUM!</v>
      </c>
    </row>
    <row r="84" spans="8:16" x14ac:dyDescent="0.2">
      <c r="H84" s="1"/>
      <c r="M84" s="9">
        <v>1.62</v>
      </c>
      <c r="N84" s="9" t="e">
        <f t="shared" si="5"/>
        <v>#NUM!</v>
      </c>
      <c r="O84" s="9" t="e">
        <f t="shared" si="6"/>
        <v>#NUM!</v>
      </c>
      <c r="P84" s="9" t="e">
        <f t="shared" si="7"/>
        <v>#NUM!</v>
      </c>
    </row>
    <row r="85" spans="8:16" x14ac:dyDescent="0.2">
      <c r="H85" s="1"/>
      <c r="M85" s="9">
        <v>1.6400000000000001</v>
      </c>
      <c r="N85" s="9" t="e">
        <f t="shared" si="5"/>
        <v>#NUM!</v>
      </c>
      <c r="O85" s="9" t="e">
        <f t="shared" si="6"/>
        <v>#NUM!</v>
      </c>
      <c r="P85" s="9" t="e">
        <f t="shared" si="7"/>
        <v>#NUM!</v>
      </c>
    </row>
    <row r="86" spans="8:16" x14ac:dyDescent="0.2">
      <c r="H86" s="1"/>
      <c r="M86" s="9">
        <v>1.6600000000000001</v>
      </c>
      <c r="N86" s="9" t="e">
        <f t="shared" si="5"/>
        <v>#NUM!</v>
      </c>
      <c r="O86" s="9" t="e">
        <f t="shared" si="6"/>
        <v>#NUM!</v>
      </c>
      <c r="P86" s="9" t="e">
        <f t="shared" si="7"/>
        <v>#NUM!</v>
      </c>
    </row>
    <row r="87" spans="8:16" x14ac:dyDescent="0.2">
      <c r="H87" s="1"/>
      <c r="M87" s="9">
        <v>1.68</v>
      </c>
      <c r="N87" s="9" t="e">
        <f t="shared" si="5"/>
        <v>#NUM!</v>
      </c>
      <c r="O87" s="9" t="e">
        <f t="shared" si="6"/>
        <v>#NUM!</v>
      </c>
      <c r="P87" s="9" t="e">
        <f t="shared" si="7"/>
        <v>#NUM!</v>
      </c>
    </row>
    <row r="88" spans="8:16" x14ac:dyDescent="0.2">
      <c r="H88" s="1"/>
      <c r="M88" s="9">
        <v>1.7</v>
      </c>
      <c r="N88" s="9" t="e">
        <f t="shared" si="5"/>
        <v>#NUM!</v>
      </c>
      <c r="O88" s="9" t="e">
        <f t="shared" si="6"/>
        <v>#NUM!</v>
      </c>
      <c r="P88" s="9" t="e">
        <f t="shared" si="7"/>
        <v>#NUM!</v>
      </c>
    </row>
    <row r="89" spans="8:16" x14ac:dyDescent="0.2">
      <c r="H89" s="1"/>
      <c r="M89" s="9">
        <v>1.72</v>
      </c>
      <c r="N89" s="9" t="e">
        <f t="shared" si="5"/>
        <v>#NUM!</v>
      </c>
      <c r="O89" s="9" t="e">
        <f t="shared" si="6"/>
        <v>#NUM!</v>
      </c>
      <c r="P89" s="9" t="e">
        <f t="shared" si="7"/>
        <v>#NUM!</v>
      </c>
    </row>
    <row r="90" spans="8:16" x14ac:dyDescent="0.2">
      <c r="H90" s="1"/>
      <c r="M90" s="9">
        <v>1.74</v>
      </c>
      <c r="N90" s="9" t="e">
        <f t="shared" si="5"/>
        <v>#NUM!</v>
      </c>
      <c r="O90" s="9" t="e">
        <f t="shared" si="6"/>
        <v>#NUM!</v>
      </c>
      <c r="P90" s="9" t="e">
        <f t="shared" si="7"/>
        <v>#NUM!</v>
      </c>
    </row>
    <row r="91" spans="8:16" x14ac:dyDescent="0.2">
      <c r="H91" s="1"/>
      <c r="M91" s="9">
        <v>1.76</v>
      </c>
      <c r="N91" s="9" t="e">
        <f t="shared" si="5"/>
        <v>#NUM!</v>
      </c>
      <c r="O91" s="9" t="e">
        <f t="shared" si="6"/>
        <v>#NUM!</v>
      </c>
      <c r="P91" s="9" t="e">
        <f t="shared" si="7"/>
        <v>#NUM!</v>
      </c>
    </row>
    <row r="92" spans="8:16" x14ac:dyDescent="0.2">
      <c r="H92" s="1"/>
      <c r="M92" s="9">
        <v>1.78</v>
      </c>
      <c r="N92" s="9" t="e">
        <f t="shared" si="5"/>
        <v>#NUM!</v>
      </c>
      <c r="O92" s="9" t="e">
        <f t="shared" si="6"/>
        <v>#NUM!</v>
      </c>
      <c r="P92" s="9" t="e">
        <f t="shared" si="7"/>
        <v>#NUM!</v>
      </c>
    </row>
    <row r="93" spans="8:16" x14ac:dyDescent="0.2">
      <c r="H93" s="1"/>
      <c r="M93" s="9">
        <v>1.8</v>
      </c>
      <c r="N93" s="9" t="e">
        <f t="shared" si="5"/>
        <v>#NUM!</v>
      </c>
      <c r="O93" s="9" t="e">
        <f t="shared" si="6"/>
        <v>#NUM!</v>
      </c>
      <c r="P93" s="9" t="e">
        <f t="shared" si="7"/>
        <v>#NUM!</v>
      </c>
    </row>
    <row r="94" spans="8:16" x14ac:dyDescent="0.2">
      <c r="H94" s="1"/>
      <c r="M94" s="9">
        <v>1.82</v>
      </c>
      <c r="N94" s="9" t="e">
        <f t="shared" si="5"/>
        <v>#NUM!</v>
      </c>
      <c r="O94" s="9" t="e">
        <f t="shared" si="6"/>
        <v>#NUM!</v>
      </c>
      <c r="P94" s="9" t="e">
        <f t="shared" si="7"/>
        <v>#NUM!</v>
      </c>
    </row>
    <row r="95" spans="8:16" x14ac:dyDescent="0.2">
      <c r="H95" s="1"/>
      <c r="M95" s="9">
        <v>1.84</v>
      </c>
      <c r="N95" s="9" t="e">
        <f t="shared" si="5"/>
        <v>#NUM!</v>
      </c>
      <c r="O95" s="9" t="e">
        <f t="shared" si="6"/>
        <v>#NUM!</v>
      </c>
      <c r="P95" s="9" t="e">
        <f t="shared" si="7"/>
        <v>#NUM!</v>
      </c>
    </row>
    <row r="96" spans="8:16" x14ac:dyDescent="0.2">
      <c r="H96" s="1"/>
      <c r="M96" s="9">
        <v>1.86</v>
      </c>
      <c r="N96" s="9" t="e">
        <f t="shared" si="5"/>
        <v>#NUM!</v>
      </c>
      <c r="O96" s="9" t="e">
        <f t="shared" si="6"/>
        <v>#NUM!</v>
      </c>
      <c r="P96" s="9" t="e">
        <f t="shared" si="7"/>
        <v>#NUM!</v>
      </c>
    </row>
    <row r="97" spans="8:16" x14ac:dyDescent="0.2">
      <c r="H97" s="1"/>
      <c r="M97" s="9">
        <v>1.8800000000000001</v>
      </c>
      <c r="N97" s="9" t="e">
        <f t="shared" si="5"/>
        <v>#NUM!</v>
      </c>
      <c r="O97" s="9" t="e">
        <f t="shared" si="6"/>
        <v>#NUM!</v>
      </c>
      <c r="P97" s="9" t="e">
        <f t="shared" si="7"/>
        <v>#NUM!</v>
      </c>
    </row>
    <row r="98" spans="8:16" x14ac:dyDescent="0.2">
      <c r="H98" s="1"/>
      <c r="M98" s="9">
        <v>1.9000000000000001</v>
      </c>
      <c r="N98" s="9" t="e">
        <f t="shared" si="5"/>
        <v>#NUM!</v>
      </c>
      <c r="O98" s="9" t="e">
        <f t="shared" si="6"/>
        <v>#NUM!</v>
      </c>
      <c r="P98" s="9" t="e">
        <f t="shared" si="7"/>
        <v>#NUM!</v>
      </c>
    </row>
    <row r="99" spans="8:16" x14ac:dyDescent="0.2">
      <c r="H99" s="1"/>
      <c r="M99" s="9">
        <v>1.92</v>
      </c>
      <c r="N99" s="9" t="e">
        <f t="shared" ref="N99:N103" si="8">C$3*C$6*LN((C$8-M99)/C$7+1)</f>
        <v>#NUM!</v>
      </c>
      <c r="O99" s="9" t="e">
        <f t="shared" si="6"/>
        <v>#NUM!</v>
      </c>
      <c r="P99" s="9" t="e">
        <f t="shared" si="7"/>
        <v>#NUM!</v>
      </c>
    </row>
    <row r="100" spans="8:16" x14ac:dyDescent="0.2">
      <c r="H100" s="1"/>
      <c r="M100" s="9">
        <v>1.94</v>
      </c>
      <c r="N100" s="9" t="e">
        <f t="shared" si="8"/>
        <v>#NUM!</v>
      </c>
      <c r="O100" s="9" t="e">
        <f t="shared" si="6"/>
        <v>#NUM!</v>
      </c>
      <c r="P100" s="9" t="e">
        <f t="shared" si="7"/>
        <v>#NUM!</v>
      </c>
    </row>
    <row r="101" spans="8:16" x14ac:dyDescent="0.2">
      <c r="H101" s="1"/>
      <c r="M101" s="9">
        <v>1.96</v>
      </c>
      <c r="N101" s="9" t="e">
        <f t="shared" si="8"/>
        <v>#NUM!</v>
      </c>
      <c r="O101" s="9" t="e">
        <f t="shared" si="6"/>
        <v>#NUM!</v>
      </c>
      <c r="P101" s="9" t="e">
        <f t="shared" si="7"/>
        <v>#NUM!</v>
      </c>
    </row>
    <row r="102" spans="8:16" x14ac:dyDescent="0.2">
      <c r="H102" s="1"/>
      <c r="M102" s="9">
        <v>1.98</v>
      </c>
      <c r="N102" s="9" t="e">
        <f t="shared" si="8"/>
        <v>#NUM!</v>
      </c>
      <c r="O102" s="9" t="e">
        <f t="shared" si="6"/>
        <v>#NUM!</v>
      </c>
      <c r="P102" s="9" t="e">
        <f t="shared" si="7"/>
        <v>#NUM!</v>
      </c>
    </row>
    <row r="103" spans="8:16" x14ac:dyDescent="0.2">
      <c r="H103" s="1"/>
      <c r="M103" s="9">
        <v>2</v>
      </c>
      <c r="N103" s="9" t="e">
        <f t="shared" si="8"/>
        <v>#NUM!</v>
      </c>
      <c r="O103" s="9" t="e">
        <f t="shared" si="6"/>
        <v>#NUM!</v>
      </c>
      <c r="P103" s="9" t="e">
        <f t="shared" si="7"/>
        <v>#NUM!</v>
      </c>
    </row>
    <row r="104" spans="8:16" x14ac:dyDescent="0.2">
      <c r="H104" s="1"/>
      <c r="M104" s="1"/>
      <c r="N104" s="1"/>
      <c r="O104" s="1"/>
    </row>
    <row r="105" spans="8:16" x14ac:dyDescent="0.2">
      <c r="H105" s="1"/>
      <c r="M105" s="1"/>
      <c r="N105" s="1"/>
      <c r="O105" s="1"/>
    </row>
    <row r="106" spans="8:16" x14ac:dyDescent="0.2">
      <c r="H106" s="1"/>
      <c r="M106" s="1"/>
      <c r="N106" s="1"/>
      <c r="O106" s="1"/>
    </row>
    <row r="107" spans="8:16" x14ac:dyDescent="0.2">
      <c r="H107" s="1"/>
      <c r="M107" s="1"/>
      <c r="N107" s="1"/>
      <c r="O107" s="1"/>
    </row>
    <row r="108" spans="8:16" x14ac:dyDescent="0.2">
      <c r="H108" s="1"/>
      <c r="M108" s="1"/>
      <c r="N108" s="1"/>
      <c r="O108" s="1"/>
    </row>
    <row r="109" spans="8:16" x14ac:dyDescent="0.2">
      <c r="H109" s="1"/>
      <c r="M109" s="1"/>
      <c r="N109" s="1"/>
      <c r="O109" s="1"/>
    </row>
    <row r="110" spans="8:16" x14ac:dyDescent="0.2">
      <c r="H110" s="1"/>
      <c r="M110" s="1"/>
      <c r="N110" s="1"/>
      <c r="O110" s="1"/>
    </row>
    <row r="111" spans="8:16" x14ac:dyDescent="0.2">
      <c r="H111" s="1"/>
      <c r="M111" s="1"/>
      <c r="N111" s="1"/>
      <c r="O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0853-FE37-FF4E-B326-E4F0DFBF5AC2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F2D5-C68C-D540-B5D8-E7634E76674B}">
  <sheetPr codeName="Sheet2"/>
  <dimension ref="A1"/>
  <sheetViews>
    <sheetView workbookViewId="0">
      <selection activeCell="B3" sqref="B3:C20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2024-03-23T20:12:24Z</dcterms:modified>
</cp:coreProperties>
</file>