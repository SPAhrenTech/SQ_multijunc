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3/Documents/calcs/SQ_multijunc/"/>
    </mc:Choice>
  </mc:AlternateContent>
  <xr:revisionPtr revIDLastSave="0" documentId="13_ncr:1_{1331607E-692B-3D4C-B6F6-2541C1A1D99C}" xr6:coauthVersionLast="47" xr6:coauthVersionMax="47" xr10:uidLastSave="{00000000-0000-0000-0000-000000000000}"/>
  <bookViews>
    <workbookView xWindow="640" yWindow="-20540" windowWidth="29420" windowHeight="17720" xr2:uid="{F39901F2-9B9C-3F40-87C6-17C8C951FC81}"/>
  </bookViews>
  <sheets>
    <sheet name="Sheet1" sheetId="1" r:id="rId1"/>
    <sheet name="Sheet3" sheetId="3" r:id="rId2"/>
    <sheet name="Sheet2" sheetId="2" r:id="rId3"/>
  </sheets>
  <definedNames>
    <definedName name="solver_adj" localSheetId="0" hidden="1">Sheet1!$H$21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Sheet1!$C$21</definedName>
    <definedName name="solver_lhs2" localSheetId="0" hidden="1">Sheet1!$C$21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Sheet1!$H$24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1</definedName>
    <definedName name="solver_rhs1" localSheetId="0" hidden="1">Sheet1!#REF!</definedName>
    <definedName name="solver_rhs2" localSheetId="0" hidden="1">Sheet1!#REF!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3" i="1"/>
  <c r="H2" i="1" l="1"/>
  <c r="H4" i="1" s="1"/>
  <c r="H3" i="1" l="1"/>
  <c r="G16" i="1" s="1"/>
  <c r="G15" i="1"/>
  <c r="H15" i="1" s="1"/>
  <c r="H8" i="1" s="1"/>
  <c r="G13" i="1"/>
  <c r="H13" i="1" s="1"/>
  <c r="G8" i="1"/>
  <c r="G14" i="1" l="1"/>
  <c r="H14" i="1" s="1"/>
  <c r="H7" i="1" s="1"/>
  <c r="H16" i="1"/>
  <c r="H9" i="1" s="1"/>
  <c r="G9" i="1"/>
  <c r="G6" i="1"/>
  <c r="H6" i="1" s="1"/>
  <c r="G7" i="1" l="1"/>
  <c r="H10" i="1"/>
  <c r="H17" i="1"/>
  <c r="H18" i="1" l="1"/>
  <c r="C4" i="1" s="1"/>
  <c r="C8" i="1" s="1"/>
  <c r="H22" i="1" l="1"/>
  <c r="H11" i="1"/>
  <c r="C25" i="1" l="1"/>
  <c r="C15" i="1"/>
  <c r="C16" i="1" l="1"/>
  <c r="C17" i="1" s="1"/>
  <c r="C24" i="1"/>
  <c r="H23" i="1"/>
  <c r="H24" i="1" s="1"/>
  <c r="C9" i="1"/>
  <c r="C20" i="1" l="1"/>
  <c r="C22" i="1" s="1"/>
  <c r="C10" i="1"/>
  <c r="O3" i="1" l="1"/>
  <c r="M9" i="1"/>
  <c r="N9" i="1" s="1"/>
  <c r="M14" i="1"/>
  <c r="N14" i="1" s="1"/>
  <c r="M5" i="1"/>
  <c r="O5" i="1" s="1"/>
  <c r="M52" i="1"/>
  <c r="N52" i="1" s="1"/>
  <c r="M26" i="1"/>
  <c r="N26" i="1" s="1"/>
  <c r="M7" i="1"/>
  <c r="N7" i="1" s="1"/>
  <c r="M27" i="1"/>
  <c r="O27" i="1" s="1"/>
  <c r="M42" i="1"/>
  <c r="N42" i="1" s="1"/>
  <c r="M24" i="1"/>
  <c r="N24" i="1" s="1"/>
  <c r="M36" i="1"/>
  <c r="N36" i="1" s="1"/>
  <c r="M35" i="1"/>
  <c r="O35" i="1" s="1"/>
  <c r="M6" i="1"/>
  <c r="N6" i="1" s="1"/>
  <c r="M37" i="1"/>
  <c r="N37" i="1" s="1"/>
  <c r="M28" i="1"/>
  <c r="N28" i="1" s="1"/>
  <c r="M49" i="1"/>
  <c r="N49" i="1" s="1"/>
  <c r="M21" i="1"/>
  <c r="O21" i="1" s="1"/>
  <c r="M34" i="1"/>
  <c r="O34" i="1" s="1"/>
  <c r="M20" i="1"/>
  <c r="N20" i="1" s="1"/>
  <c r="M29" i="1"/>
  <c r="O29" i="1" s="1"/>
  <c r="M30" i="1"/>
  <c r="O30" i="1" s="1"/>
  <c r="M45" i="1"/>
  <c r="O45" i="1" s="1"/>
  <c r="M44" i="1"/>
  <c r="N44" i="1" s="1"/>
  <c r="M15" i="1"/>
  <c r="O15" i="1" s="1"/>
  <c r="M53" i="1"/>
  <c r="N53" i="1" s="1"/>
  <c r="M50" i="1"/>
  <c r="O50" i="1" s="1"/>
  <c r="M16" i="1"/>
  <c r="N16" i="1" s="1"/>
  <c r="M12" i="1"/>
  <c r="O12" i="1" s="1"/>
  <c r="M25" i="1"/>
  <c r="N25" i="1" s="1"/>
  <c r="M11" i="1"/>
  <c r="N11" i="1" s="1"/>
  <c r="M47" i="1"/>
  <c r="N47" i="1" s="1"/>
  <c r="M51" i="1"/>
  <c r="N51" i="1" s="1"/>
  <c r="M10" i="1"/>
  <c r="O10" i="1" s="1"/>
  <c r="M31" i="1"/>
  <c r="N31" i="1" s="1"/>
  <c r="M4" i="1"/>
  <c r="O4" i="1" s="1"/>
  <c r="M46" i="1"/>
  <c r="O46" i="1" s="1"/>
  <c r="M22" i="1"/>
  <c r="O22" i="1" s="1"/>
  <c r="M33" i="1"/>
  <c r="O33" i="1" s="1"/>
  <c r="M3" i="1"/>
  <c r="M18" i="1"/>
  <c r="O18" i="1" s="1"/>
  <c r="M40" i="1"/>
  <c r="N40" i="1" s="1"/>
  <c r="M41" i="1"/>
  <c r="O41" i="1" s="1"/>
  <c r="M39" i="1"/>
  <c r="N39" i="1" s="1"/>
  <c r="M17" i="1"/>
  <c r="O17" i="1" s="1"/>
  <c r="M48" i="1"/>
  <c r="O48" i="1" s="1"/>
  <c r="M8" i="1"/>
  <c r="O8" i="1" s="1"/>
  <c r="M13" i="1"/>
  <c r="O13" i="1" s="1"/>
  <c r="M19" i="1"/>
  <c r="O19" i="1" s="1"/>
  <c r="M32" i="1"/>
  <c r="N32" i="1" s="1"/>
  <c r="O32" i="1"/>
  <c r="M38" i="1"/>
  <c r="O38" i="1" s="1"/>
  <c r="M23" i="1"/>
  <c r="N23" i="1" s="1"/>
  <c r="M43" i="1"/>
  <c r="N43" i="1" s="1"/>
  <c r="O24" i="1" l="1"/>
  <c r="P24" i="1" s="1"/>
  <c r="N41" i="1"/>
  <c r="P41" i="1" s="1"/>
  <c r="N34" i="1"/>
  <c r="P34" i="1" s="1"/>
  <c r="N22" i="1"/>
  <c r="P22" i="1" s="1"/>
  <c r="O31" i="1"/>
  <c r="P31" i="1" s="1"/>
  <c r="O16" i="1"/>
  <c r="P16" i="1" s="1"/>
  <c r="O51" i="1"/>
  <c r="P51" i="1" s="1"/>
  <c r="O25" i="1"/>
  <c r="P25" i="1" s="1"/>
  <c r="N35" i="1"/>
  <c r="P35" i="1" s="1"/>
  <c r="O39" i="1"/>
  <c r="P39" i="1" s="1"/>
  <c r="O43" i="1"/>
  <c r="P43" i="1" s="1"/>
  <c r="N33" i="1"/>
  <c r="P33" i="1" s="1"/>
  <c r="N13" i="1"/>
  <c r="P13" i="1" s="1"/>
  <c r="O23" i="1"/>
  <c r="P23" i="1" s="1"/>
  <c r="O53" i="1"/>
  <c r="P53" i="1" s="1"/>
  <c r="N45" i="1"/>
  <c r="P45" i="1" s="1"/>
  <c r="N29" i="1"/>
  <c r="P29" i="1" s="1"/>
  <c r="O37" i="1"/>
  <c r="P37" i="1" s="1"/>
  <c r="N27" i="1"/>
  <c r="P27" i="1" s="1"/>
  <c r="O26" i="1"/>
  <c r="P26" i="1" s="1"/>
  <c r="N10" i="1"/>
  <c r="P10" i="1" s="1"/>
  <c r="O52" i="1"/>
  <c r="P52" i="1" s="1"/>
  <c r="N48" i="1"/>
  <c r="P48" i="1" s="1"/>
  <c r="O49" i="1"/>
  <c r="P49" i="1" s="1"/>
  <c r="N18" i="1"/>
  <c r="P18" i="1" s="1"/>
  <c r="N4" i="1"/>
  <c r="P4" i="1" s="1"/>
  <c r="O44" i="1"/>
  <c r="P44" i="1" s="1"/>
  <c r="O28" i="1"/>
  <c r="P28" i="1" s="1"/>
  <c r="O6" i="1"/>
  <c r="P6" i="1" s="1"/>
  <c r="O7" i="1"/>
  <c r="P7" i="1" s="1"/>
  <c r="N5" i="1"/>
  <c r="P5" i="1" s="1"/>
  <c r="P32" i="1"/>
  <c r="N15" i="1"/>
  <c r="P15" i="1" s="1"/>
  <c r="N38" i="1"/>
  <c r="P38" i="1" s="1"/>
  <c r="N50" i="1"/>
  <c r="P50" i="1" s="1"/>
  <c r="N12" i="1"/>
  <c r="P12" i="1" s="1"/>
  <c r="O11" i="1"/>
  <c r="P11" i="1" s="1"/>
  <c r="O14" i="1"/>
  <c r="P14" i="1" s="1"/>
  <c r="O9" i="1"/>
  <c r="P9" i="1" s="1"/>
  <c r="O36" i="1"/>
  <c r="P36" i="1" s="1"/>
  <c r="O20" i="1"/>
  <c r="P20" i="1" s="1"/>
  <c r="O42" i="1"/>
  <c r="P42" i="1" s="1"/>
  <c r="N19" i="1"/>
  <c r="P19" i="1" s="1"/>
  <c r="O47" i="1"/>
  <c r="P47" i="1" s="1"/>
  <c r="O40" i="1"/>
  <c r="P40" i="1" s="1"/>
  <c r="N8" i="1"/>
  <c r="P8" i="1" s="1"/>
  <c r="N17" i="1"/>
  <c r="P17" i="1" s="1"/>
  <c r="N46" i="1"/>
  <c r="P46" i="1" s="1"/>
  <c r="N30" i="1"/>
  <c r="P30" i="1" s="1"/>
  <c r="N21" i="1"/>
  <c r="P21" i="1" s="1"/>
</calcChain>
</file>

<file path=xl/sharedStrings.xml><?xml version="1.0" encoding="utf-8"?>
<sst xmlns="http://schemas.openxmlformats.org/spreadsheetml/2006/main" count="38" uniqueCount="34">
  <si>
    <t>Ip (mA)</t>
  </si>
  <si>
    <t>kT (eV)</t>
  </si>
  <si>
    <t>Ip_1 (mA)</t>
  </si>
  <si>
    <t>Ip_2 (mA)</t>
  </si>
  <si>
    <t>V1 (V)</t>
  </si>
  <si>
    <t>V2(V)</t>
  </si>
  <si>
    <t>I0_1 (mA)</t>
  </si>
  <si>
    <t>I0_2 (mA)</t>
  </si>
  <si>
    <t>I (mA)</t>
  </si>
  <si>
    <t>n_1</t>
  </si>
  <si>
    <t>n_2</t>
  </si>
  <si>
    <t>n_1+n_2</t>
  </si>
  <si>
    <t>f</t>
  </si>
  <si>
    <t>1-f</t>
  </si>
  <si>
    <t>I_p1</t>
  </si>
  <si>
    <t>I_p2</t>
  </si>
  <si>
    <t>P1 (W)</t>
  </si>
  <si>
    <t>P2 (W)</t>
  </si>
  <si>
    <t>P (W)</t>
  </si>
  <si>
    <t>V (V)</t>
  </si>
  <si>
    <t>V2 (V)</t>
  </si>
  <si>
    <t>Isc (mA)</t>
  </si>
  <si>
    <t>u</t>
  </si>
  <si>
    <t>m1</t>
  </si>
  <si>
    <t>m2</t>
  </si>
  <si>
    <t>Voc (V)</t>
  </si>
  <si>
    <t>I_1</t>
  </si>
  <si>
    <t>I_2</t>
  </si>
  <si>
    <t>Ierror</t>
  </si>
  <si>
    <t>max. power point</t>
  </si>
  <si>
    <t>Imax</t>
  </si>
  <si>
    <t>Imin</t>
  </si>
  <si>
    <t>V1_sc</t>
  </si>
  <si>
    <t>solve for Isc: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</si>
</sst>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0"/>
    <numFmt numFmtId="167" formatCode="0.000000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0" fontId="0" fillId="0" borderId="1" xfId="0" applyBorder="1"/>
    <xf numFmtId="11" fontId="0" fillId="0" borderId="1" xfId="0" applyNumberFormat="1" applyBorder="1"/>
    <xf numFmtId="2" fontId="0" fillId="0" borderId="0" xfId="0" applyNumberFormat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Sheet1!$P$3:$P$53</c:f>
              <c:numCache>
                <c:formatCode>0.0000</c:formatCode>
                <c:ptCount val="51"/>
                <c:pt idx="0">
                  <c:v>0</c:v>
                </c:pt>
                <c:pt idx="1">
                  <c:v>1.602384582879778</c:v>
                </c:pt>
                <c:pt idx="2">
                  <c:v>1.62090856390727</c:v>
                </c:pt>
                <c:pt idx="3">
                  <c:v>1.6319868139873799</c:v>
                </c:pt>
                <c:pt idx="4">
                  <c:v>1.6400197523900149</c:v>
                </c:pt>
                <c:pt idx="5">
                  <c:v>1.6463864457375466</c:v>
                </c:pt>
                <c:pt idx="6">
                  <c:v>1.651701185224032</c:v>
                </c:pt>
                <c:pt idx="7">
                  <c:v>1.6562916673860795</c:v>
                </c:pt>
                <c:pt idx="8">
                  <c:v>1.6603535104069091</c:v>
                </c:pt>
                <c:pt idx="9">
                  <c:v>1.6640129027834665</c:v>
                </c:pt>
                <c:pt idx="10">
                  <c:v>1.6673560144719852</c:v>
                </c:pt>
                <c:pt idx="11">
                  <c:v>1.6704443151748798</c:v>
                </c:pt>
                <c:pt idx="12">
                  <c:v>1.6733231990649242</c:v>
                </c:pt>
                <c:pt idx="13">
                  <c:v>1.6760271453807141</c:v>
                </c:pt>
                <c:pt idx="14">
                  <c:v>1.6785829610826122</c:v>
                </c:pt>
                <c:pt idx="15">
                  <c:v>1.6810119020628316</c:v>
                </c:pt>
                <c:pt idx="16">
                  <c:v>1.6833311083593139</c:v>
                </c:pt>
                <c:pt idx="17">
                  <c:v>1.6855546034946687</c:v>
                </c:pt>
                <c:pt idx="18">
                  <c:v>1.6876940077333629</c:v>
                </c:pt>
                <c:pt idx="19">
                  <c:v>1.6897590582325281</c:v>
                </c:pt>
                <c:pt idx="20">
                  <c:v>1.6917579956132061</c:v>
                </c:pt>
                <c:pt idx="21">
                  <c:v>1.6936978561130487</c:v>
                </c:pt>
                <c:pt idx="22">
                  <c:v>1.695584695709087</c:v>
                </c:pt>
                <c:pt idx="23">
                  <c:v>1.6974237643764005</c:v>
                </c:pt>
                <c:pt idx="24">
                  <c:v>1.6992196432296707</c:v>
                </c:pt>
                <c:pt idx="25">
                  <c:v>1.7009763536478202</c:v>
                </c:pt>
                <c:pt idx="26">
                  <c:v>1.7026974449808607</c:v>
                </c:pt>
                <c:pt idx="27">
                  <c:v>1.7043860656929932</c:v>
                </c:pt>
                <c:pt idx="28">
                  <c:v>1.7060450215591558</c:v>
                </c:pt>
                <c:pt idx="29">
                  <c:v>1.707676823642976</c:v>
                </c:pt>
                <c:pt idx="30">
                  <c:v>1.7092837281361799</c:v>
                </c:pt>
                <c:pt idx="31">
                  <c:v>1.7108677696617609</c:v>
                </c:pt>
                <c:pt idx="32">
                  <c:v>1.7124307892868575</c:v>
                </c:pt>
                <c:pt idx="33">
                  <c:v>1.713974458222761</c:v>
                </c:pt>
                <c:pt idx="34">
                  <c:v>1.715500297985082</c:v>
                </c:pt>
                <c:pt idx="35">
                  <c:v>1.7170096976301856</c:v>
                </c:pt>
                <c:pt idx="36">
                  <c:v>1.7185039285624302</c:v>
                </c:pt>
                <c:pt idx="37">
                  <c:v>1.7199841573118602</c:v>
                </c:pt>
                <c:pt idx="38">
                  <c:v>1.7214514566073655</c:v>
                </c:pt>
                <c:pt idx="39">
                  <c:v>1.7229068150111901</c:v>
                </c:pt>
                <c:pt idx="40">
                  <c:v>1.7243511453335465</c:v>
                </c:pt>
                <c:pt idx="41">
                  <c:v>1.725785292008245</c:v>
                </c:pt>
                <c:pt idx="42">
                  <c:v>1.7272100375797472</c:v>
                </c:pt>
                <c:pt idx="43">
                  <c:v>1.728626108427243</c:v>
                </c:pt>
                <c:pt idx="44">
                  <c:v>1.7300341798311458</c:v>
                </c:pt>
                <c:pt idx="45">
                  <c:v>1.7314348804708162</c:v>
                </c:pt>
                <c:pt idx="46">
                  <c:v>1.7328287964286404</c:v>
                </c:pt>
                <c:pt idx="47">
                  <c:v>1.7342164747642976</c:v>
                </c:pt>
                <c:pt idx="48">
                  <c:v>1.7355984267136191</c:v>
                </c:pt>
                <c:pt idx="49">
                  <c:v>1.7369751305585965</c:v>
                </c:pt>
                <c:pt idx="50">
                  <c:v>1.7383470342085068</c:v>
                </c:pt>
              </c:numCache>
            </c:numRef>
          </c:xVal>
          <c:yVal>
            <c:numRef>
              <c:f>Sheet1!$M$3:$M$53</c:f>
              <c:numCache>
                <c:formatCode>0.0000</c:formatCode>
                <c:ptCount val="51"/>
                <c:pt idx="0">
                  <c:v>0.25132674209191519</c:v>
                </c:pt>
                <c:pt idx="1">
                  <c:v>0.24837196663498756</c:v>
                </c:pt>
                <c:pt idx="2">
                  <c:v>0.24535750075435178</c:v>
                </c:pt>
                <c:pt idx="3">
                  <c:v>0.24228213862346226</c:v>
                </c:pt>
                <c:pt idx="4">
                  <c:v>0.23914465005646121</c:v>
                </c:pt>
                <c:pt idx="5">
                  <c:v>0.23594378001608812</c:v>
                </c:pt>
                <c:pt idx="6">
                  <c:v>0.23267824811164803</c:v>
                </c:pt>
                <c:pt idx="7">
                  <c:v>0.22934674808683811</c:v>
                </c:pt>
                <c:pt idx="8">
                  <c:v>0.22594794729722784</c:v>
                </c:pt>
                <c:pt idx="9">
                  <c:v>0.22248048617718347</c:v>
                </c:pt>
                <c:pt idx="10">
                  <c:v>0.2189429776960235</c:v>
                </c:pt>
                <c:pt idx="11">
                  <c:v>0.21533400680318815</c:v>
                </c:pt>
                <c:pt idx="12">
                  <c:v>0.21165212986219989</c:v>
                </c:pt>
                <c:pt idx="13">
                  <c:v>0.20789587407319007</c:v>
                </c:pt>
                <c:pt idx="14">
                  <c:v>0.20406373688375903</c:v>
                </c:pt>
                <c:pt idx="15">
                  <c:v>0.20015418538793509</c:v>
                </c:pt>
                <c:pt idx="16">
                  <c:v>0.19616565571299188</c:v>
                </c:pt>
                <c:pt idx="17">
                  <c:v>0.19209655239387838</c:v>
                </c:pt>
                <c:pt idx="18">
                  <c:v>0.18794524773501148</c:v>
                </c:pt>
                <c:pt idx="19">
                  <c:v>0.18371008115917609</c:v>
                </c:pt>
                <c:pt idx="20">
                  <c:v>0.17938935854327231</c:v>
                </c:pt>
                <c:pt idx="21">
                  <c:v>0.17498135154064343</c:v>
                </c:pt>
                <c:pt idx="22">
                  <c:v>0.17048429688971403</c:v>
                </c:pt>
                <c:pt idx="23">
                  <c:v>0.16589639570866235</c:v>
                </c:pt>
                <c:pt idx="24">
                  <c:v>0.16121581277584307</c:v>
                </c:pt>
                <c:pt idx="25">
                  <c:v>0.1564406757956745</c:v>
                </c:pt>
                <c:pt idx="26">
                  <c:v>0.15156907464969521</c:v>
                </c:pt>
                <c:pt idx="27">
                  <c:v>0.14659906063249123</c:v>
                </c:pt>
                <c:pt idx="28">
                  <c:v>0.14152864567218798</c:v>
                </c:pt>
                <c:pt idx="29">
                  <c:v>0.13635580153519494</c:v>
                </c:pt>
                <c:pt idx="30">
                  <c:v>0.13107845901488507</c:v>
                </c:pt>
                <c:pt idx="31">
                  <c:v>0.12569450710388475</c:v>
                </c:pt>
                <c:pt idx="32">
                  <c:v>0.12020179214964262</c:v>
                </c:pt>
                <c:pt idx="33">
                  <c:v>0.11459811699293977</c:v>
                </c:pt>
                <c:pt idx="34">
                  <c:v>0.10888124008899691</c:v>
                </c:pt>
                <c:pt idx="35">
                  <c:v>0.1030488746108264</c:v>
                </c:pt>
                <c:pt idx="36">
                  <c:v>9.7098687534471068E-2</c:v>
                </c:pt>
                <c:pt idx="37">
                  <c:v>9.1028298705763469E-2</c:v>
                </c:pt>
                <c:pt idx="38">
                  <c:v>8.4835279888232515E-2</c:v>
                </c:pt>
                <c:pt idx="39">
                  <c:v>7.8517153791776498E-2</c:v>
                </c:pt>
                <c:pt idx="40">
                  <c:v>7.2071393081714008E-2</c:v>
                </c:pt>
                <c:pt idx="41">
                  <c:v>6.5495419367816513E-2</c:v>
                </c:pt>
                <c:pt idx="42">
                  <c:v>5.8786602172917639E-2</c:v>
                </c:pt>
                <c:pt idx="43">
                  <c:v>5.1942257880687175E-2</c:v>
                </c:pt>
                <c:pt idx="44">
                  <c:v>4.4959648662149181E-2</c:v>
                </c:pt>
                <c:pt idx="45">
                  <c:v>3.7835981380513493E-2</c:v>
                </c:pt>
                <c:pt idx="46">
                  <c:v>3.0568406473884067E-2</c:v>
                </c:pt>
                <c:pt idx="47">
                  <c:v>2.3154016815395893E-2</c:v>
                </c:pt>
                <c:pt idx="48">
                  <c:v>1.5589846550325784E-2</c:v>
                </c:pt>
                <c:pt idx="49">
                  <c:v>7.8728699097107176E-3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A-5746-AEAC-2496E8DF0B14}"/>
            </c:ext>
          </c:extLst>
        </c:ser>
        <c:ser>
          <c:idx val="1"/>
          <c:order val="1"/>
          <c:tx>
            <c:v>Pmax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Sheet1!$C$20</c:f>
              <c:numCache>
                <c:formatCode>0.000000</c:formatCode>
                <c:ptCount val="1"/>
                <c:pt idx="0">
                  <c:v>1.6177945419406414</c:v>
                </c:pt>
              </c:numCache>
            </c:numRef>
          </c:xVal>
          <c:yVal>
            <c:numRef>
              <c:f>Sheet1!$C$21</c:f>
              <c:numCache>
                <c:formatCode>0.0000</c:formatCode>
                <c:ptCount val="1"/>
                <c:pt idx="0">
                  <c:v>0.24601977392425475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13-CC45-993C-B41593231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9087"/>
        <c:axId val="1308920815"/>
      </c:scatterChart>
      <c:valAx>
        <c:axId val="1308919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20815"/>
        <c:crosses val="autoZero"/>
        <c:crossBetween val="midCat"/>
      </c:valAx>
      <c:valAx>
        <c:axId val="130892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 (mA)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1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18</xdr:row>
      <xdr:rowOff>38100</xdr:rowOff>
    </xdr:from>
    <xdr:to>
      <xdr:col>5</xdr:col>
      <xdr:colOff>622300</xdr:colOff>
      <xdr:row>20</xdr:row>
      <xdr:rowOff>88900</xdr:rowOff>
    </xdr:to>
    <xdr:sp macro="[0]!ThisWorkbook.Solve_I" textlink="">
      <xdr:nvSpPr>
        <xdr:cNvPr id="3" name="Rounded Rectangle 2">
          <a:extLst>
            <a:ext uri="{FF2B5EF4-FFF2-40B4-BE49-F238E27FC236}">
              <a16:creationId xmlns:a16="http://schemas.microsoft.com/office/drawing/2014/main" id="{27CE620D-FFC8-4B7C-8165-080539BF06FB}"/>
            </a:ext>
          </a:extLst>
        </xdr:cNvPr>
        <xdr:cNvSpPr/>
      </xdr:nvSpPr>
      <xdr:spPr>
        <a:xfrm>
          <a:off x="3733800" y="3695700"/>
          <a:ext cx="140970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Optimize</a:t>
          </a:r>
          <a:r>
            <a:rPr lang="en-US" sz="2400" baseline="0"/>
            <a:t> f</a:t>
          </a:r>
          <a:endParaRPr lang="en-US" sz="2400"/>
        </a:p>
      </xdr:txBody>
    </xdr:sp>
    <xdr:clientData/>
  </xdr:twoCellAnchor>
  <xdr:twoCellAnchor>
    <xdr:from>
      <xdr:col>0</xdr:col>
      <xdr:colOff>44450</xdr:colOff>
      <xdr:row>26</xdr:row>
      <xdr:rowOff>47625</xdr:rowOff>
    </xdr:from>
    <xdr:to>
      <xdr:col>5</xdr:col>
      <xdr:colOff>730250</xdr:colOff>
      <xdr:row>39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9C191B-2963-30F3-367E-F2DC845AFC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4093-DF6B-F344-A215-BF7E4431A2FB}">
  <sheetPr codeName="Sheet1"/>
  <dimension ref="B2:AN111"/>
  <sheetViews>
    <sheetView tabSelected="1" zoomScaleNormal="100" workbookViewId="0">
      <selection activeCell="E9" sqref="E9:E10"/>
    </sheetView>
  </sheetViews>
  <sheetFormatPr baseColWidth="10" defaultRowHeight="16" x14ac:dyDescent="0.2"/>
  <cols>
    <col min="3" max="3" width="16" customWidth="1"/>
    <col min="8" max="8" width="19.1640625" customWidth="1"/>
    <col min="11" max="11" width="12.1640625" bestFit="1" customWidth="1"/>
  </cols>
  <sheetData>
    <row r="2" spans="2:40" x14ac:dyDescent="0.2">
      <c r="B2" t="s">
        <v>0</v>
      </c>
      <c r="C2" s="7">
        <v>1</v>
      </c>
      <c r="G2" t="s">
        <v>11</v>
      </c>
      <c r="H2">
        <f>Sheet1!C6+Sheet1!C13</f>
        <v>3</v>
      </c>
      <c r="M2" t="s">
        <v>8</v>
      </c>
      <c r="N2" t="s">
        <v>4</v>
      </c>
      <c r="O2" t="s">
        <v>20</v>
      </c>
      <c r="P2" t="s">
        <v>19</v>
      </c>
    </row>
    <row r="3" spans="2:40" x14ac:dyDescent="0.2">
      <c r="B3" t="s">
        <v>1</v>
      </c>
      <c r="C3" s="7">
        <v>2.5899999999999999E-2</v>
      </c>
      <c r="G3" t="s">
        <v>23</v>
      </c>
      <c r="H3">
        <f>C6/H2</f>
        <v>0.33333333333333331</v>
      </c>
      <c r="K3">
        <v>0</v>
      </c>
      <c r="L3">
        <f>1-(EXP(K3)-1)/(EXP(1)-1)</f>
        <v>1</v>
      </c>
      <c r="M3" s="2">
        <f>L3*H$26</f>
        <v>0.25132674209191519</v>
      </c>
      <c r="N3" s="2">
        <v>-1.1565584212268814</v>
      </c>
      <c r="O3" s="2">
        <f>-N3</f>
        <v>1.1565584212268814</v>
      </c>
      <c r="P3" s="2">
        <v>0</v>
      </c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2:40" x14ac:dyDescent="0.2">
      <c r="B4" t="s">
        <v>12</v>
      </c>
      <c r="C4" s="6">
        <f>H18</f>
        <v>0.74867325800808482</v>
      </c>
      <c r="G4" t="s">
        <v>24</v>
      </c>
      <c r="H4">
        <f>C13/H2</f>
        <v>0.66666666666666663</v>
      </c>
      <c r="K4">
        <v>0.02</v>
      </c>
      <c r="L4">
        <f t="shared" ref="L4:L53" si="0">1-(EXP(K4)-1)/(EXP(1)-1)</f>
        <v>0.98824329065688121</v>
      </c>
      <c r="M4" s="2">
        <f t="shared" ref="M4:M53" si="1">L4*H$26</f>
        <v>0.24837196663498756</v>
      </c>
      <c r="N4" s="2">
        <f t="shared" ref="N4:N35" si="2">C$6*C$3*LN((C$8-M4)/C$7+1)</f>
        <v>0.44551932426592922</v>
      </c>
      <c r="O4" s="2">
        <f t="shared" ref="O4:O35" si="3">C$13*C$3*LN((C$15-M4)/C$14+1)</f>
        <v>1.1568652586138488</v>
      </c>
      <c r="P4" s="2">
        <f t="shared" ref="P4:P53" si="4">N4+O4</f>
        <v>1.602384582879778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</row>
    <row r="5" spans="2:40" x14ac:dyDescent="0.2">
      <c r="K5">
        <v>0.04</v>
      </c>
      <c r="L5">
        <f t="shared" si="0"/>
        <v>0.97624908003072619</v>
      </c>
      <c r="M5" s="2">
        <f t="shared" si="1"/>
        <v>0.24535750075435178</v>
      </c>
      <c r="N5" s="2">
        <f t="shared" si="2"/>
        <v>0.46373213122084933</v>
      </c>
      <c r="O5" s="2">
        <f t="shared" si="3"/>
        <v>1.1571764326864207</v>
      </c>
      <c r="P5" s="2">
        <f t="shared" si="4"/>
        <v>1.62090856390727</v>
      </c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</row>
    <row r="6" spans="2:40" x14ac:dyDescent="0.2">
      <c r="B6" t="s">
        <v>9</v>
      </c>
      <c r="C6" s="7">
        <v>1</v>
      </c>
      <c r="G6">
        <f>1-G13</f>
        <v>0.33333333333333337</v>
      </c>
      <c r="H6">
        <f>G6*Sheet1!C2</f>
        <v>0.33333333333333337</v>
      </c>
      <c r="K6">
        <v>0.06</v>
      </c>
      <c r="L6">
        <f t="shared" si="0"/>
        <v>0.96401257027735976</v>
      </c>
      <c r="M6" s="2">
        <f t="shared" si="1"/>
        <v>0.24228213862346226</v>
      </c>
      <c r="N6" s="2">
        <f t="shared" si="2"/>
        <v>0.47449483576066237</v>
      </c>
      <c r="O6" s="2">
        <f t="shared" si="3"/>
        <v>1.1574919782267175</v>
      </c>
      <c r="P6" s="2">
        <f t="shared" si="4"/>
        <v>1.6319868139873799</v>
      </c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</row>
    <row r="7" spans="2:40" x14ac:dyDescent="0.2">
      <c r="B7" t="s">
        <v>6</v>
      </c>
      <c r="C7" s="8">
        <v>1E-10</v>
      </c>
      <c r="G7">
        <f t="shared" ref="G7:H9" si="5">-G14</f>
        <v>-0.33333333333333331</v>
      </c>
      <c r="H7" s="5">
        <f t="shared" si="5"/>
        <v>-8.2006591308084908E-2</v>
      </c>
      <c r="K7">
        <v>0.08</v>
      </c>
      <c r="L7">
        <f t="shared" si="0"/>
        <v>0.9515288666297248</v>
      </c>
      <c r="M7" s="2">
        <f t="shared" si="1"/>
        <v>0.23914465005646121</v>
      </c>
      <c r="N7" s="2">
        <f t="shared" si="2"/>
        <v>0.48220782285205543</v>
      </c>
      <c r="O7" s="2">
        <f t="shared" si="3"/>
        <v>1.1578119295379594</v>
      </c>
      <c r="P7" s="2">
        <f t="shared" si="4"/>
        <v>1.6400197523900149</v>
      </c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</row>
    <row r="8" spans="2:40" x14ac:dyDescent="0.2">
      <c r="B8" t="s">
        <v>2</v>
      </c>
      <c r="C8">
        <f>(1-C4)*C2</f>
        <v>0.25132674199191518</v>
      </c>
      <c r="G8">
        <f t="shared" si="5"/>
        <v>-0.66666666666666663</v>
      </c>
      <c r="H8" s="1">
        <f t="shared" si="5"/>
        <v>-6.6666666666666669E-11</v>
      </c>
      <c r="K8">
        <v>0.1</v>
      </c>
      <c r="L8">
        <f t="shared" si="0"/>
        <v>0.9387929754399108</v>
      </c>
      <c r="M8" s="2">
        <f t="shared" si="1"/>
        <v>0.23594378001608812</v>
      </c>
      <c r="N8" s="2">
        <f t="shared" si="2"/>
        <v>0.48825012530024869</v>
      </c>
      <c r="O8" s="2">
        <f t="shared" si="3"/>
        <v>1.1581363204372979</v>
      </c>
      <c r="P8" s="2">
        <f t="shared" si="4"/>
        <v>1.6463864457375466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</row>
    <row r="9" spans="2:40" x14ac:dyDescent="0.2">
      <c r="B9" t="s">
        <v>4</v>
      </c>
      <c r="C9" s="3">
        <f>C6*C3*LN((C8-C21)/C7+1)</f>
        <v>0.46068631363610596</v>
      </c>
      <c r="G9">
        <f t="shared" si="5"/>
        <v>0.33333333333333331</v>
      </c>
      <c r="H9" s="1">
        <f t="shared" si="5"/>
        <v>3.3333333333333335E-11</v>
      </c>
      <c r="K9">
        <v>0.12</v>
      </c>
      <c r="L9">
        <f t="shared" si="0"/>
        <v>0.92579980218162761</v>
      </c>
      <c r="M9" s="2">
        <f t="shared" si="1"/>
        <v>0.23267824811164803</v>
      </c>
      <c r="N9" s="2">
        <f t="shared" si="2"/>
        <v>0.4932360009893344</v>
      </c>
      <c r="O9" s="2">
        <f t="shared" si="3"/>
        <v>1.1584651842346976</v>
      </c>
      <c r="P9" s="2">
        <f t="shared" si="4"/>
        <v>1.651701185224032</v>
      </c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</row>
    <row r="10" spans="2:40" x14ac:dyDescent="0.2">
      <c r="B10" t="s">
        <v>16</v>
      </c>
      <c r="C10" s="2">
        <f>C9*C21</f>
        <v>0.11333794273075311</v>
      </c>
      <c r="G10" t="s">
        <v>14</v>
      </c>
      <c r="H10">
        <f>SUM(H6:H9)</f>
        <v>0.25132674199191513</v>
      </c>
      <c r="K10">
        <v>0.14000000000000001</v>
      </c>
      <c r="L10">
        <f t="shared" si="0"/>
        <v>0.91254414941232731</v>
      </c>
      <c r="M10" s="2">
        <f t="shared" si="1"/>
        <v>0.22934674808683811</v>
      </c>
      <c r="N10" s="2">
        <f t="shared" si="2"/>
        <v>0.49749311367420312</v>
      </c>
      <c r="O10" s="2">
        <f t="shared" si="3"/>
        <v>1.1587985537118763</v>
      </c>
      <c r="P10" s="2">
        <f t="shared" si="4"/>
        <v>1.6562916673860795</v>
      </c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</row>
    <row r="11" spans="2:40" x14ac:dyDescent="0.2">
      <c r="C11" s="1"/>
      <c r="G11" s="1" t="s">
        <v>13</v>
      </c>
      <c r="H11" s="6">
        <f>1-H18</f>
        <v>0.25132674199191518</v>
      </c>
      <c r="K11">
        <v>0.16</v>
      </c>
      <c r="L11">
        <f t="shared" si="0"/>
        <v>0.89902071469415767</v>
      </c>
      <c r="M11" s="2">
        <f t="shared" si="1"/>
        <v>0.22594794729722784</v>
      </c>
      <c r="N11" s="2">
        <f t="shared" si="2"/>
        <v>0.50121704930558098</v>
      </c>
      <c r="O11" s="2">
        <f t="shared" si="3"/>
        <v>1.1591364611013282</v>
      </c>
      <c r="P11" s="2">
        <f t="shared" si="4"/>
        <v>1.6603535104069091</v>
      </c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</row>
    <row r="12" spans="2:40" x14ac:dyDescent="0.2">
      <c r="C12" s="1"/>
      <c r="K12">
        <v>0.18</v>
      </c>
      <c r="L12">
        <f t="shared" si="0"/>
        <v>0.88522408847291678</v>
      </c>
      <c r="M12" s="2">
        <f t="shared" si="1"/>
        <v>0.22248048617718347</v>
      </c>
      <c r="N12" s="2">
        <f t="shared" si="2"/>
        <v>0.50453396471801204</v>
      </c>
      <c r="O12" s="2">
        <f t="shared" si="3"/>
        <v>1.1594789380654544</v>
      </c>
      <c r="P12" s="2">
        <f t="shared" si="4"/>
        <v>1.6640129027834665</v>
      </c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</row>
    <row r="13" spans="2:40" x14ac:dyDescent="0.2">
      <c r="B13" t="s">
        <v>10</v>
      </c>
      <c r="C13" s="7">
        <v>2</v>
      </c>
      <c r="G13">
        <f>H4</f>
        <v>0.66666666666666663</v>
      </c>
      <c r="H13">
        <f>G13*C2</f>
        <v>0.66666666666666663</v>
      </c>
      <c r="K13">
        <v>0.2</v>
      </c>
      <c r="L13">
        <f t="shared" si="0"/>
        <v>0.87114875191415841</v>
      </c>
      <c r="M13" s="2">
        <f t="shared" si="1"/>
        <v>0.2189429776960235</v>
      </c>
      <c r="N13" s="2">
        <f t="shared" si="2"/>
        <v>0.50752999879615424</v>
      </c>
      <c r="O13" s="2">
        <f t="shared" si="3"/>
        <v>1.1598260156758311</v>
      </c>
      <c r="P13" s="2">
        <f t="shared" si="4"/>
        <v>1.6673560144719852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</row>
    <row r="14" spans="2:40" x14ac:dyDescent="0.2">
      <c r="B14" t="s">
        <v>7</v>
      </c>
      <c r="C14" s="8">
        <v>1E-10</v>
      </c>
      <c r="G14">
        <f>H4-H3</f>
        <v>0.33333333333333331</v>
      </c>
      <c r="H14" s="5">
        <f>G14*C21</f>
        <v>8.2006591308084908E-2</v>
      </c>
      <c r="K14">
        <v>0.22</v>
      </c>
      <c r="L14">
        <f t="shared" si="0"/>
        <v>0.85678907469558574</v>
      </c>
      <c r="M14" s="2">
        <f t="shared" si="1"/>
        <v>0.21533400680318815</v>
      </c>
      <c r="N14" s="2">
        <f t="shared" si="2"/>
        <v>0.5102665907822439</v>
      </c>
      <c r="O14" s="2">
        <f t="shared" si="3"/>
        <v>1.1601777243926359</v>
      </c>
      <c r="P14" s="2">
        <f t="shared" si="4"/>
        <v>1.6704443151748798</v>
      </c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</row>
    <row r="15" spans="2:40" x14ac:dyDescent="0.2">
      <c r="B15" t="s">
        <v>3</v>
      </c>
      <c r="C15">
        <f>C4*C2</f>
        <v>0.74867325800808482</v>
      </c>
      <c r="G15">
        <f>H4</f>
        <v>0.66666666666666663</v>
      </c>
      <c r="H15" s="1">
        <f>G15*C7</f>
        <v>6.6666666666666669E-11</v>
      </c>
      <c r="K15">
        <v>0.24</v>
      </c>
      <c r="L15">
        <f t="shared" si="0"/>
        <v>0.84213931275484599</v>
      </c>
      <c r="M15" s="2">
        <f t="shared" si="1"/>
        <v>0.21165212986219989</v>
      </c>
      <c r="N15" s="2">
        <f t="shared" si="2"/>
        <v>0.51278910502066077</v>
      </c>
      <c r="O15" s="2">
        <f t="shared" si="3"/>
        <v>1.1605340940442634</v>
      </c>
      <c r="P15" s="2">
        <f t="shared" si="4"/>
        <v>1.6733231990649242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</row>
    <row r="16" spans="2:40" x14ac:dyDescent="0.2">
      <c r="B16" t="s">
        <v>5</v>
      </c>
      <c r="C16" s="3">
        <f>C13*C3*LN((C15-C21)/C14+1)</f>
        <v>1.1571082283045355</v>
      </c>
      <c r="G16">
        <f>-H3</f>
        <v>-0.33333333333333331</v>
      </c>
      <c r="H16" s="1">
        <f>G16*C14</f>
        <v>-3.3333333333333335E-11</v>
      </c>
      <c r="K16">
        <v>0.26</v>
      </c>
      <c r="L16">
        <f t="shared" si="0"/>
        <v>0.82719360599183045</v>
      </c>
      <c r="M16" s="2">
        <f t="shared" si="1"/>
        <v>0.20789587407319007</v>
      </c>
      <c r="N16" s="2">
        <f t="shared" si="2"/>
        <v>0.5151319915735576</v>
      </c>
      <c r="O16" s="2">
        <f t="shared" si="3"/>
        <v>1.1608951538071566</v>
      </c>
      <c r="P16" s="2">
        <f t="shared" si="4"/>
        <v>1.6760271453807141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</row>
    <row r="17" spans="2:40" x14ac:dyDescent="0.2">
      <c r="B17" t="s">
        <v>17</v>
      </c>
      <c r="C17">
        <f>C16*C21</f>
        <v>0.28467150473337677</v>
      </c>
      <c r="G17" t="s">
        <v>15</v>
      </c>
      <c r="H17">
        <f>SUM(H13:H16)</f>
        <v>0.74867325800808482</v>
      </c>
      <c r="K17">
        <v>0.28000000000000003</v>
      </c>
      <c r="L17">
        <f t="shared" si="0"/>
        <v>0.81194597592455509</v>
      </c>
      <c r="M17" s="2">
        <f t="shared" si="1"/>
        <v>0.20406373688375903</v>
      </c>
      <c r="N17" s="2">
        <f t="shared" si="2"/>
        <v>0.51732202889673529</v>
      </c>
      <c r="O17" s="2">
        <f t="shared" si="3"/>
        <v>1.1612609321858769</v>
      </c>
      <c r="P17" s="2">
        <f t="shared" si="4"/>
        <v>1.6785829610826122</v>
      </c>
    </row>
    <row r="18" spans="2:40" x14ac:dyDescent="0.2">
      <c r="G18" s="1" t="s">
        <v>12</v>
      </c>
      <c r="H18" s="6">
        <f>H17/Sheet1!C2</f>
        <v>0.74867325800808482</v>
      </c>
      <c r="K18">
        <v>0.3</v>
      </c>
      <c r="L18">
        <f t="shared" si="0"/>
        <v>0.79639032329768833</v>
      </c>
      <c r="M18" s="2">
        <f t="shared" si="1"/>
        <v>0.20015418538793509</v>
      </c>
      <c r="N18" s="2">
        <f t="shared" si="2"/>
        <v>0.51938044506938619</v>
      </c>
      <c r="O18" s="2">
        <f t="shared" si="3"/>
        <v>1.1616314569934454</v>
      </c>
      <c r="P18" s="2">
        <f t="shared" si="4"/>
        <v>1.6810119020628316</v>
      </c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</row>
    <row r="19" spans="2:40" x14ac:dyDescent="0.2">
      <c r="B19" t="s">
        <v>29</v>
      </c>
      <c r="K19">
        <v>0.32</v>
      </c>
      <c r="L19">
        <f t="shared" si="0"/>
        <v>0.78052042564276825</v>
      </c>
      <c r="M19" s="2">
        <f t="shared" si="1"/>
        <v>0.19616565571299188</v>
      </c>
      <c r="N19" s="2">
        <f t="shared" si="2"/>
        <v>0.52132435302733604</v>
      </c>
      <c r="O19" s="2">
        <f t="shared" si="3"/>
        <v>1.1620067553319779</v>
      </c>
      <c r="P19" s="2">
        <f t="shared" si="4"/>
        <v>1.6833311083593139</v>
      </c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</row>
    <row r="20" spans="2:40" x14ac:dyDescent="0.2">
      <c r="B20" t="s">
        <v>19</v>
      </c>
      <c r="C20" s="3">
        <f>C9+C16</f>
        <v>1.6177945419406414</v>
      </c>
      <c r="G20" t="s">
        <v>33</v>
      </c>
      <c r="K20">
        <v>0.34</v>
      </c>
      <c r="L20">
        <f t="shared" si="0"/>
        <v>0.76432993478913136</v>
      </c>
      <c r="M20" s="2">
        <f t="shared" si="1"/>
        <v>0.19209655239387838</v>
      </c>
      <c r="N20" s="2">
        <f t="shared" si="2"/>
        <v>0.52316774992102466</v>
      </c>
      <c r="O20" s="2">
        <f t="shared" si="3"/>
        <v>1.1623868535736441</v>
      </c>
      <c r="P20" s="2">
        <f t="shared" si="4"/>
        <v>1.6855546034946687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</row>
    <row r="21" spans="2:40" x14ac:dyDescent="0.2">
      <c r="B21" t="s">
        <v>8</v>
      </c>
      <c r="C21" s="10">
        <v>0.24601977392425475</v>
      </c>
      <c r="G21" t="s">
        <v>22</v>
      </c>
      <c r="H21" s="2">
        <v>-44.654765298335185</v>
      </c>
      <c r="K21">
        <v>0.36</v>
      </c>
      <c r="L21">
        <f t="shared" si="0"/>
        <v>0.74781237432456016</v>
      </c>
      <c r="M21" s="2">
        <f t="shared" si="1"/>
        <v>0.18794524773501148</v>
      </c>
      <c r="N21" s="2">
        <f t="shared" si="2"/>
        <v>0.52492223039138819</v>
      </c>
      <c r="O21" s="2">
        <f t="shared" si="3"/>
        <v>1.1627717773419748</v>
      </c>
      <c r="P21" s="2">
        <f t="shared" si="4"/>
        <v>1.6876940077333629</v>
      </c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</row>
    <row r="22" spans="2:40" x14ac:dyDescent="0.2">
      <c r="B22" t="s">
        <v>18</v>
      </c>
      <c r="C22" s="4">
        <f>C21*C20</f>
        <v>0.39800944746412986</v>
      </c>
      <c r="G22" t="s">
        <v>26</v>
      </c>
      <c r="H22" s="2">
        <f>C8-C7*(EXP(H21/C6)-1)</f>
        <v>0.25132674209191519</v>
      </c>
      <c r="K22">
        <v>0.38</v>
      </c>
      <c r="L22">
        <f t="shared" si="0"/>
        <v>0.73096113700463139</v>
      </c>
      <c r="M22" s="2">
        <f t="shared" si="1"/>
        <v>0.18371008115917609</v>
      </c>
      <c r="N22" s="2">
        <f t="shared" si="2"/>
        <v>0.52659750673898187</v>
      </c>
      <c r="O22" s="2">
        <f t="shared" si="3"/>
        <v>1.1631615514935463</v>
      </c>
      <c r="P22" s="2">
        <f t="shared" si="4"/>
        <v>1.6897590582325281</v>
      </c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</row>
    <row r="23" spans="2:40" x14ac:dyDescent="0.2">
      <c r="G23" t="s">
        <v>27</v>
      </c>
      <c r="H23" s="2">
        <f>C15-C14*(EXP(-H21/C13)-1)</f>
        <v>0.25132674222617474</v>
      </c>
      <c r="K23">
        <v>0.4</v>
      </c>
      <c r="L23">
        <f t="shared" si="0"/>
        <v>0.71376948210973135</v>
      </c>
      <c r="M23" s="2">
        <f t="shared" si="1"/>
        <v>0.17938935854327231</v>
      </c>
      <c r="N23" s="2">
        <f t="shared" si="2"/>
        <v>0.5282017955131374</v>
      </c>
      <c r="O23" s="2">
        <f t="shared" si="3"/>
        <v>1.1635562001000685</v>
      </c>
      <c r="P23" s="2">
        <f t="shared" si="4"/>
        <v>1.6917579956132061</v>
      </c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2:40" x14ac:dyDescent="0.2">
      <c r="B24" t="s">
        <v>25</v>
      </c>
      <c r="C24" s="2">
        <f>C6*C3*LN((C8-0)/C7+1)+C13*C3*LN((C15-0)/C14+1)</f>
        <v>1.7383470342085068</v>
      </c>
      <c r="G24" t="s">
        <v>28</v>
      </c>
      <c r="H24" s="9">
        <f>H22-H23</f>
        <v>-1.3425954792367634E-10</v>
      </c>
      <c r="K24">
        <v>0.42</v>
      </c>
      <c r="L24">
        <f t="shared" si="0"/>
        <v>0.69623053274867686</v>
      </c>
      <c r="M24" s="2">
        <f t="shared" si="1"/>
        <v>0.17498135154064343</v>
      </c>
      <c r="N24" s="2">
        <f t="shared" si="2"/>
        <v>0.5297421096821483</v>
      </c>
      <c r="O24" s="2">
        <f t="shared" si="3"/>
        <v>1.1639557464309005</v>
      </c>
      <c r="P24" s="2">
        <f t="shared" si="4"/>
        <v>1.6936978561130487</v>
      </c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2:40" x14ac:dyDescent="0.2">
      <c r="B25" t="s">
        <v>21</v>
      </c>
      <c r="C25" s="2">
        <f>H22</f>
        <v>0.25132674209191519</v>
      </c>
      <c r="K25">
        <v>0.44</v>
      </c>
      <c r="L25">
        <f t="shared" si="0"/>
        <v>0.6783372731078674</v>
      </c>
      <c r="M25" s="2">
        <f t="shared" si="1"/>
        <v>0.17048429688971403</v>
      </c>
      <c r="N25" s="2">
        <f t="shared" si="2"/>
        <v>0.53122448277306422</v>
      </c>
      <c r="O25" s="2">
        <f t="shared" si="3"/>
        <v>1.1643602129360227</v>
      </c>
      <c r="P25" s="2">
        <f t="shared" si="4"/>
        <v>1.695584695709087</v>
      </c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2:40" x14ac:dyDescent="0.2">
      <c r="B26" s="1"/>
      <c r="G26" t="s">
        <v>30</v>
      </c>
      <c r="H26" s="2">
        <v>0.25132674209191519</v>
      </c>
      <c r="K26">
        <v>0.46</v>
      </c>
      <c r="L26">
        <f t="shared" si="0"/>
        <v>0.66008254564486712</v>
      </c>
      <c r="M26" s="2">
        <f t="shared" si="1"/>
        <v>0.16589639570866235</v>
      </c>
      <c r="N26" s="2">
        <f t="shared" si="2"/>
        <v>0.53265414314691151</v>
      </c>
      <c r="O26" s="2">
        <f t="shared" si="3"/>
        <v>1.1647696212294889</v>
      </c>
      <c r="P26" s="2">
        <f t="shared" si="4"/>
        <v>1.6974237643764005</v>
      </c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</row>
    <row r="27" spans="2:40" x14ac:dyDescent="0.2">
      <c r="B27" s="1"/>
      <c r="G27" t="s">
        <v>31</v>
      </c>
      <c r="H27">
        <v>0</v>
      </c>
      <c r="K27">
        <v>0.48</v>
      </c>
      <c r="L27">
        <f t="shared" si="0"/>
        <v>0.64145904822529087</v>
      </c>
      <c r="M27" s="2">
        <f t="shared" si="1"/>
        <v>0.16121581277584307</v>
      </c>
      <c r="N27" s="2">
        <f t="shared" si="2"/>
        <v>0.53403565115628526</v>
      </c>
      <c r="O27" s="2">
        <f t="shared" si="3"/>
        <v>1.1651839920733855</v>
      </c>
      <c r="P27" s="2">
        <f t="shared" si="4"/>
        <v>1.6992196432296707</v>
      </c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</row>
    <row r="28" spans="2:40" x14ac:dyDescent="0.2">
      <c r="B28" s="1"/>
      <c r="C28" s="3"/>
      <c r="G28" t="s">
        <v>32</v>
      </c>
      <c r="H28" s="2">
        <f>C3*H21</f>
        <v>-1.1565584212268814</v>
      </c>
      <c r="K28">
        <v>0.5</v>
      </c>
      <c r="L28">
        <f t="shared" si="0"/>
        <v>0.62245933120185448</v>
      </c>
      <c r="M28" s="2">
        <f t="shared" si="1"/>
        <v>0.1564406757956745</v>
      </c>
      <c r="N28" s="2">
        <f t="shared" si="2"/>
        <v>0.5353730082855005</v>
      </c>
      <c r="O28" s="2">
        <f t="shared" si="3"/>
        <v>1.1656033453623196</v>
      </c>
      <c r="P28" s="2">
        <f t="shared" si="4"/>
        <v>1.7009763536478202</v>
      </c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</row>
    <row r="29" spans="2:40" x14ac:dyDescent="0.2">
      <c r="C29" s="3"/>
      <c r="K29">
        <v>0.52</v>
      </c>
      <c r="L29">
        <f t="shared" si="0"/>
        <v>0.6030757944344155</v>
      </c>
      <c r="M29" s="2">
        <f t="shared" si="1"/>
        <v>0.15156907464969521</v>
      </c>
      <c r="N29" s="2">
        <f t="shared" si="2"/>
        <v>0.5366697448723986</v>
      </c>
      <c r="O29" s="2">
        <f t="shared" si="3"/>
        <v>1.1660277001084622</v>
      </c>
      <c r="P29" s="2">
        <f t="shared" si="4"/>
        <v>1.7026974449808607</v>
      </c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</row>
    <row r="30" spans="2:40" x14ac:dyDescent="0.2">
      <c r="K30">
        <v>0.54</v>
      </c>
      <c r="L30">
        <f t="shared" si="0"/>
        <v>0.58330068424981629</v>
      </c>
      <c r="M30" s="2">
        <f t="shared" si="1"/>
        <v>0.14659906063249123</v>
      </c>
      <c r="N30" s="2">
        <f t="shared" si="2"/>
        <v>0.5379289912658225</v>
      </c>
      <c r="O30" s="2">
        <f t="shared" si="3"/>
        <v>1.1664570744271707</v>
      </c>
      <c r="P30" s="2">
        <f t="shared" si="4"/>
        <v>1.7043860656929932</v>
      </c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</row>
    <row r="31" spans="2:40" x14ac:dyDescent="0.2">
      <c r="H31" s="1"/>
      <c r="K31">
        <v>0.56000000000000005</v>
      </c>
      <c r="L31">
        <f t="shared" si="0"/>
        <v>0.56312609034031147</v>
      </c>
      <c r="M31" s="2">
        <f t="shared" si="1"/>
        <v>0.14152864567218798</v>
      </c>
      <c r="N31" s="2">
        <f t="shared" si="2"/>
        <v>0.5391535360359484</v>
      </c>
      <c r="O31" s="2">
        <f t="shared" si="3"/>
        <v>1.1668914855232075</v>
      </c>
      <c r="P31" s="2">
        <f t="shared" si="4"/>
        <v>1.7060450215591558</v>
      </c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</row>
    <row r="32" spans="2:40" x14ac:dyDescent="0.2">
      <c r="H32" s="1"/>
      <c r="K32">
        <v>0.57999999999999996</v>
      </c>
      <c r="L32">
        <f t="shared" si="0"/>
        <v>0.54254394259933914</v>
      </c>
      <c r="M32" s="2">
        <f t="shared" si="1"/>
        <v>0.13635580153519494</v>
      </c>
      <c r="N32" s="2">
        <f t="shared" si="2"/>
        <v>0.54034587396538925</v>
      </c>
      <c r="O32" s="2">
        <f t="shared" si="3"/>
        <v>1.1673309496775868</v>
      </c>
      <c r="P32" s="2">
        <f t="shared" si="4"/>
        <v>1.707676823642976</v>
      </c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</row>
    <row r="33" spans="8:37" x14ac:dyDescent="0.2">
      <c r="H33" s="1"/>
      <c r="K33">
        <v>0.6</v>
      </c>
      <c r="L33">
        <f t="shared" si="0"/>
        <v>0.52154600789337047</v>
      </c>
      <c r="M33" s="2">
        <f t="shared" si="1"/>
        <v>0.13107845901488507</v>
      </c>
      <c r="N33" s="2">
        <f t="shared" si="2"/>
        <v>0.54150824590112101</v>
      </c>
      <c r="O33" s="2">
        <f t="shared" si="3"/>
        <v>1.167775482235059</v>
      </c>
      <c r="P33" s="2">
        <f t="shared" si="4"/>
        <v>1.7092837281361799</v>
      </c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</row>
    <row r="34" spans="8:37" x14ac:dyDescent="0.2">
      <c r="H34" s="1"/>
      <c r="K34">
        <v>0.62</v>
      </c>
      <c r="L34">
        <f t="shared" si="0"/>
        <v>0.5001238867685468</v>
      </c>
      <c r="M34" s="2">
        <f t="shared" si="1"/>
        <v>0.12569450710388475</v>
      </c>
      <c r="N34" s="2">
        <f t="shared" si="2"/>
        <v>0.54264267206949779</v>
      </c>
      <c r="O34" s="2">
        <f t="shared" si="3"/>
        <v>1.168225097592263</v>
      </c>
      <c r="P34" s="2">
        <f t="shared" si="4"/>
        <v>1.7108677696617609</v>
      </c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</row>
    <row r="35" spans="8:37" x14ac:dyDescent="0.2">
      <c r="H35" s="1"/>
      <c r="K35">
        <v>0.64</v>
      </c>
      <c r="L35">
        <f t="shared" si="0"/>
        <v>0.47826901009078626</v>
      </c>
      <c r="M35" s="2">
        <f t="shared" si="1"/>
        <v>0.12020179214964262</v>
      </c>
      <c r="N35" s="2">
        <f t="shared" si="2"/>
        <v>0.5437509801003001</v>
      </c>
      <c r="O35" s="2">
        <f t="shared" si="3"/>
        <v>1.1686798091865573</v>
      </c>
      <c r="P35" s="2">
        <f t="shared" si="4"/>
        <v>1.7124307892868575</v>
      </c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</row>
    <row r="36" spans="8:37" x14ac:dyDescent="0.2">
      <c r="H36" s="1"/>
      <c r="K36">
        <v>0.66</v>
      </c>
      <c r="L36">
        <f t="shared" si="0"/>
        <v>0.45597263561801538</v>
      </c>
      <c r="M36" s="2">
        <f t="shared" si="1"/>
        <v>0.11459811699293977</v>
      </c>
      <c r="N36" s="2">
        <f t="shared" ref="N36:N67" si="6">C$6*C$3*LN((C$8-M36)/C$7+1)</f>
        <v>0.54483482873720512</v>
      </c>
      <c r="O36" s="2">
        <f t="shared" ref="O36:O53" si="7">C$13*C$3*LN((C$15-M36)/C$14+1)</f>
        <v>1.1691396294855558</v>
      </c>
      <c r="P36" s="2">
        <f t="shared" si="4"/>
        <v>1.713974458222761</v>
      </c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</row>
    <row r="37" spans="8:37" x14ac:dyDescent="0.2">
      <c r="H37" s="1"/>
      <c r="K37">
        <v>0.68</v>
      </c>
      <c r="L37">
        <f t="shared" si="0"/>
        <v>0.43322584450315627</v>
      </c>
      <c r="M37" s="2">
        <f t="shared" si="1"/>
        <v>0.10888124008899691</v>
      </c>
      <c r="N37" s="2">
        <f t="shared" si="6"/>
        <v>0.54589572800770469</v>
      </c>
      <c r="O37" s="2">
        <f t="shared" si="7"/>
        <v>1.1696045699773772</v>
      </c>
      <c r="P37" s="2">
        <f t="shared" si="4"/>
        <v>1.715500297985082</v>
      </c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</row>
    <row r="38" spans="8:37" x14ac:dyDescent="0.2">
      <c r="H38" s="1"/>
      <c r="K38">
        <v>0.70000000000000007</v>
      </c>
      <c r="L38">
        <f t="shared" si="0"/>
        <v>0.41001953772646837</v>
      </c>
      <c r="M38" s="2">
        <f t="shared" si="1"/>
        <v>0.1030488746108264</v>
      </c>
      <c r="N38" s="2">
        <f t="shared" si="6"/>
        <v>0.54693505646855345</v>
      </c>
      <c r="O38" s="2">
        <f t="shared" si="7"/>
        <v>1.1700746411616323</v>
      </c>
      <c r="P38" s="2">
        <f t="shared" si="4"/>
        <v>1.7170096976301856</v>
      </c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</row>
    <row r="39" spans="8:37" x14ac:dyDescent="0.2">
      <c r="H39" s="1"/>
      <c r="K39">
        <v>0.72</v>
      </c>
      <c r="L39">
        <f t="shared" si="0"/>
        <v>0.3863444324558194</v>
      </c>
      <c r="M39" s="2">
        <f t="shared" si="1"/>
        <v>9.7098687534471068E-2</v>
      </c>
      <c r="N39" s="2">
        <f t="shared" si="6"/>
        <v>0.54795407602127255</v>
      </c>
      <c r="O39" s="2">
        <f t="shared" si="7"/>
        <v>1.1705498525411577</v>
      </c>
      <c r="P39" s="2">
        <f t="shared" si="4"/>
        <v>1.7185039285624302</v>
      </c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</row>
    <row r="40" spans="8:37" x14ac:dyDescent="0.2">
      <c r="H40" s="1"/>
      <c r="K40">
        <v>0.74</v>
      </c>
      <c r="L40">
        <f t="shared" si="0"/>
        <v>0.36219105833342879</v>
      </c>
      <c r="M40" s="2">
        <f t="shared" si="1"/>
        <v>9.1028298705763469E-2</v>
      </c>
      <c r="N40" s="2">
        <f t="shared" si="6"/>
        <v>0.54895394469734671</v>
      </c>
      <c r="O40" s="2">
        <f t="shared" si="7"/>
        <v>1.1710302126145136</v>
      </c>
      <c r="P40" s="2">
        <f t="shared" si="4"/>
        <v>1.7199841573118602</v>
      </c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</row>
    <row r="41" spans="8:37" x14ac:dyDescent="0.2">
      <c r="H41" s="1"/>
      <c r="K41">
        <v>0.76</v>
      </c>
      <c r="L41">
        <f t="shared" si="0"/>
        <v>0.33754975368759832</v>
      </c>
      <c r="M41" s="2">
        <f t="shared" si="1"/>
        <v>8.4835279888232515E-2</v>
      </c>
      <c r="N41" s="2">
        <f t="shared" si="6"/>
        <v>0.54993572773810961</v>
      </c>
      <c r="O41" s="2">
        <f t="shared" si="7"/>
        <v>1.1715157288692559</v>
      </c>
      <c r="P41" s="2">
        <f t="shared" si="4"/>
        <v>1.7214514566073655</v>
      </c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8:37" x14ac:dyDescent="0.2">
      <c r="H42" s="1"/>
      <c r="K42">
        <v>0.78</v>
      </c>
      <c r="L42">
        <f t="shared" si="0"/>
        <v>0.31241066166791442</v>
      </c>
      <c r="M42" s="2">
        <f t="shared" si="1"/>
        <v>7.8517153791776498E-2</v>
      </c>
      <c r="N42" s="2">
        <f t="shared" si="6"/>
        <v>0.55090040723519584</v>
      </c>
      <c r="O42" s="2">
        <f t="shared" si="7"/>
        <v>1.1720064077759944</v>
      </c>
      <c r="P42" s="2">
        <f t="shared" si="4"/>
        <v>1.7229068150111901</v>
      </c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8:37" x14ac:dyDescent="0.2">
      <c r="H43" s="1"/>
      <c r="K43">
        <v>0.8</v>
      </c>
      <c r="L43">
        <f t="shared" si="0"/>
        <v>0.28676372630237679</v>
      </c>
      <c r="M43" s="2">
        <f t="shared" si="1"/>
        <v>7.2071393081714008E-2</v>
      </c>
      <c r="N43" s="2">
        <f t="shared" si="6"/>
        <v>0.55184889055029618</v>
      </c>
      <c r="O43" s="2">
        <f t="shared" si="7"/>
        <v>1.1725022547832502</v>
      </c>
      <c r="P43" s="2">
        <f t="shared" si="4"/>
        <v>1.7243511453335465</v>
      </c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8:37" x14ac:dyDescent="0.2">
      <c r="H44" s="1"/>
      <c r="K44">
        <v>0.82000000000000006</v>
      </c>
      <c r="L44">
        <f t="shared" si="0"/>
        <v>0.26059868847487599</v>
      </c>
      <c r="M44" s="2">
        <f t="shared" si="1"/>
        <v>6.5495419367816513E-2</v>
      </c>
      <c r="N44" s="2">
        <f t="shared" si="6"/>
        <v>0.55278201769513124</v>
      </c>
      <c r="O44" s="2">
        <f t="shared" si="7"/>
        <v>1.1730032743131138</v>
      </c>
      <c r="P44" s="2">
        <f t="shared" si="4"/>
        <v>1.725785292008245</v>
      </c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8:37" x14ac:dyDescent="0.2">
      <c r="H45" s="1"/>
      <c r="K45">
        <v>0.84</v>
      </c>
      <c r="L45">
        <f t="shared" si="0"/>
        <v>0.23390508182140923</v>
      </c>
      <c r="M45" s="2">
        <f t="shared" si="1"/>
        <v>5.8786602172917639E-2</v>
      </c>
      <c r="N45" s="2">
        <f t="shared" si="6"/>
        <v>0.55370056782202814</v>
      </c>
      <c r="O45" s="2">
        <f t="shared" si="7"/>
        <v>1.1735094697577191</v>
      </c>
      <c r="P45" s="2">
        <f t="shared" si="4"/>
        <v>1.7272100375797472</v>
      </c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8:37" x14ac:dyDescent="0.2">
      <c r="H46" s="1"/>
      <c r="K46">
        <v>0.86</v>
      </c>
      <c r="L46">
        <f t="shared" si="0"/>
        <v>0.20667222854339495</v>
      </c>
      <c r="M46" s="2">
        <f t="shared" si="1"/>
        <v>5.1942257880687175E-2</v>
      </c>
      <c r="N46" s="2">
        <f t="shared" si="6"/>
        <v>0.55460526495070761</v>
      </c>
      <c r="O46" s="2">
        <f t="shared" si="7"/>
        <v>1.1740208434765353</v>
      </c>
      <c r="P46" s="2">
        <f t="shared" si="4"/>
        <v>1.728626108427243</v>
      </c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</row>
    <row r="47" spans="8:37" x14ac:dyDescent="0.2">
      <c r="H47" s="1"/>
      <c r="K47">
        <v>0.88</v>
      </c>
      <c r="L47">
        <f t="shared" si="0"/>
        <v>0.17888923513641275</v>
      </c>
      <c r="M47" s="2">
        <f t="shared" si="1"/>
        <v>4.4959648662149181E-2</v>
      </c>
      <c r="N47" s="2">
        <f t="shared" si="6"/>
        <v>0.55549678303666583</v>
      </c>
      <c r="O47" s="2">
        <f t="shared" si="7"/>
        <v>1.1745373967944801</v>
      </c>
      <c r="P47" s="2">
        <f t="shared" si="4"/>
        <v>1.7300341798311458</v>
      </c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</row>
    <row r="48" spans="8:37" x14ac:dyDescent="0.2">
      <c r="H48" s="1"/>
      <c r="K48">
        <v>0.9</v>
      </c>
      <c r="L48">
        <f t="shared" si="0"/>
        <v>0.15054498803265481</v>
      </c>
      <c r="M48" s="2">
        <f t="shared" si="1"/>
        <v>3.7835981380513493E-2</v>
      </c>
      <c r="N48" s="2">
        <f t="shared" si="6"/>
        <v>0.55637575046995469</v>
      </c>
      <c r="O48" s="2">
        <f t="shared" si="7"/>
        <v>1.1750591300008615</v>
      </c>
      <c r="P48" s="2">
        <f t="shared" si="4"/>
        <v>1.7314348804708162</v>
      </c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8:37" x14ac:dyDescent="0.2">
      <c r="H49" s="1"/>
      <c r="K49">
        <v>0.92</v>
      </c>
      <c r="L49">
        <f t="shared" si="0"/>
        <v>0.12162814915535169</v>
      </c>
      <c r="M49" s="2">
        <f t="shared" si="1"/>
        <v>3.0568406473884067E-2</v>
      </c>
      <c r="N49" s="2">
        <f t="shared" si="6"/>
        <v>0.5572427540794952</v>
      </c>
      <c r="O49" s="2">
        <f t="shared" si="7"/>
        <v>1.1755860423491451</v>
      </c>
      <c r="P49" s="2">
        <f t="shared" si="4"/>
        <v>1.7328287964286404</v>
      </c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</row>
    <row r="50" spans="8:37" x14ac:dyDescent="0.2">
      <c r="H50" s="1"/>
      <c r="K50">
        <v>0.94000000000000006</v>
      </c>
      <c r="L50">
        <f t="shared" si="0"/>
        <v>9.2127151383389227E-2</v>
      </c>
      <c r="M50" s="2">
        <f t="shared" si="1"/>
        <v>2.3154016815395893E-2</v>
      </c>
      <c r="N50" s="2">
        <f t="shared" si="6"/>
        <v>0.5580983427067453</v>
      </c>
      <c r="O50" s="2">
        <f t="shared" si="7"/>
        <v>1.1761181320575522</v>
      </c>
      <c r="P50" s="2">
        <f t="shared" si="4"/>
        <v>1.7342164747642976</v>
      </c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</row>
    <row r="51" spans="8:37" x14ac:dyDescent="0.2">
      <c r="H51" s="1"/>
      <c r="K51">
        <v>0.96</v>
      </c>
      <c r="L51">
        <f t="shared" si="0"/>
        <v>6.2030193924306976E-2</v>
      </c>
      <c r="M51" s="2">
        <f t="shared" si="1"/>
        <v>1.5589846550325784E-2</v>
      </c>
      <c r="N51" s="2">
        <f t="shared" si="6"/>
        <v>0.55894303040313498</v>
      </c>
      <c r="O51" s="2">
        <f t="shared" si="7"/>
        <v>1.1766553963104842</v>
      </c>
      <c r="P51" s="2">
        <f t="shared" si="4"/>
        <v>1.7355984267136191</v>
      </c>
    </row>
    <row r="52" spans="8:37" x14ac:dyDescent="0.2">
      <c r="H52" s="1"/>
      <c r="K52">
        <v>0.98</v>
      </c>
      <c r="L52">
        <f t="shared" si="0"/>
        <v>3.1325237593822997E-2</v>
      </c>
      <c r="M52" s="2">
        <f t="shared" si="1"/>
        <v>7.8728699097107176E-3</v>
      </c>
      <c r="N52" s="2">
        <f t="shared" si="6"/>
        <v>0.55977729929782571</v>
      </c>
      <c r="O52" s="2">
        <f t="shared" si="7"/>
        <v>1.1771978312607707</v>
      </c>
      <c r="P52" s="2">
        <f t="shared" si="4"/>
        <v>1.7369751305585965</v>
      </c>
    </row>
    <row r="53" spans="8:37" x14ac:dyDescent="0.2">
      <c r="H53" s="1"/>
      <c r="K53">
        <v>1</v>
      </c>
      <c r="L53">
        <f t="shared" si="0"/>
        <v>0</v>
      </c>
      <c r="M53" s="2">
        <f t="shared" si="1"/>
        <v>0</v>
      </c>
      <c r="N53" s="2">
        <f t="shared" si="6"/>
        <v>0.56060160217576527</v>
      </c>
      <c r="O53" s="2">
        <f t="shared" si="7"/>
        <v>1.1777454320327416</v>
      </c>
      <c r="P53" s="2">
        <f t="shared" si="4"/>
        <v>1.7383470342085068</v>
      </c>
    </row>
    <row r="54" spans="8:37" x14ac:dyDescent="0.2">
      <c r="H54" s="1"/>
      <c r="M54" s="9"/>
      <c r="N54" s="9"/>
      <c r="O54" s="9"/>
      <c r="P54" s="9"/>
    </row>
    <row r="55" spans="8:37" x14ac:dyDescent="0.2">
      <c r="H55" s="1"/>
      <c r="M55" s="9"/>
      <c r="N55" s="9"/>
      <c r="O55" s="9"/>
      <c r="P55" s="9"/>
    </row>
    <row r="56" spans="8:37" x14ac:dyDescent="0.2">
      <c r="H56" s="1"/>
      <c r="M56" s="9"/>
      <c r="N56" s="9"/>
      <c r="O56" s="9"/>
      <c r="P56" s="9"/>
    </row>
    <row r="57" spans="8:37" x14ac:dyDescent="0.2">
      <c r="H57" s="1"/>
      <c r="M57" s="9"/>
      <c r="N57" s="9"/>
      <c r="O57" s="9"/>
      <c r="P57" s="9"/>
    </row>
    <row r="58" spans="8:37" x14ac:dyDescent="0.2">
      <c r="H58" s="1"/>
      <c r="M58" s="9"/>
      <c r="N58" s="9"/>
      <c r="O58" s="9"/>
      <c r="P58" s="9"/>
    </row>
    <row r="59" spans="8:37" x14ac:dyDescent="0.2">
      <c r="H59" s="1"/>
      <c r="M59" s="9"/>
      <c r="N59" s="9"/>
      <c r="O59" s="9"/>
      <c r="P59" s="9"/>
    </row>
    <row r="60" spans="8:37" x14ac:dyDescent="0.2">
      <c r="H60" s="1"/>
      <c r="M60" s="9"/>
      <c r="N60" s="9"/>
      <c r="O60" s="9"/>
      <c r="P60" s="9"/>
    </row>
    <row r="61" spans="8:37" x14ac:dyDescent="0.2">
      <c r="H61" s="1"/>
      <c r="M61" s="9"/>
      <c r="N61" s="9"/>
      <c r="O61" s="9"/>
      <c r="P61" s="9"/>
    </row>
    <row r="62" spans="8:37" x14ac:dyDescent="0.2">
      <c r="H62" s="1"/>
      <c r="M62" s="9"/>
      <c r="N62" s="9"/>
      <c r="O62" s="9"/>
      <c r="P62" s="9"/>
    </row>
    <row r="63" spans="8:37" x14ac:dyDescent="0.2">
      <c r="H63" s="1"/>
      <c r="M63" s="9"/>
      <c r="N63" s="9"/>
      <c r="O63" s="9"/>
      <c r="P63" s="9"/>
    </row>
    <row r="64" spans="8:37" x14ac:dyDescent="0.2">
      <c r="H64" s="1"/>
      <c r="M64" s="9"/>
      <c r="N64" s="9"/>
      <c r="O64" s="9"/>
      <c r="P64" s="9"/>
    </row>
    <row r="65" spans="8:16" x14ac:dyDescent="0.2">
      <c r="H65" s="1"/>
      <c r="M65" s="9"/>
      <c r="N65" s="9"/>
      <c r="O65" s="9"/>
      <c r="P65" s="9"/>
    </row>
    <row r="66" spans="8:16" x14ac:dyDescent="0.2">
      <c r="H66" s="1"/>
      <c r="M66" s="9"/>
      <c r="N66" s="9"/>
      <c r="O66" s="9"/>
      <c r="P66" s="9"/>
    </row>
    <row r="67" spans="8:16" x14ac:dyDescent="0.2">
      <c r="H67" s="1"/>
      <c r="M67" s="9"/>
      <c r="N67" s="9"/>
      <c r="O67" s="9"/>
      <c r="P67" s="9"/>
    </row>
    <row r="68" spans="8:16" x14ac:dyDescent="0.2">
      <c r="H68" s="1"/>
      <c r="M68" s="9"/>
      <c r="N68" s="9"/>
      <c r="O68" s="9"/>
      <c r="P68" s="9"/>
    </row>
    <row r="69" spans="8:16" x14ac:dyDescent="0.2">
      <c r="H69" s="1"/>
      <c r="M69" s="9"/>
      <c r="N69" s="9"/>
      <c r="O69" s="9"/>
      <c r="P69" s="9"/>
    </row>
    <row r="70" spans="8:16" x14ac:dyDescent="0.2">
      <c r="H70" s="1"/>
      <c r="M70" s="9"/>
      <c r="N70" s="9"/>
      <c r="O70" s="9"/>
      <c r="P70" s="9"/>
    </row>
    <row r="71" spans="8:16" x14ac:dyDescent="0.2">
      <c r="H71" s="1"/>
      <c r="M71" s="9"/>
      <c r="N71" s="9"/>
      <c r="O71" s="9"/>
      <c r="P71" s="9"/>
    </row>
    <row r="72" spans="8:16" x14ac:dyDescent="0.2">
      <c r="H72" s="1"/>
      <c r="M72" s="9"/>
      <c r="N72" s="9"/>
      <c r="O72" s="9"/>
      <c r="P72" s="9"/>
    </row>
    <row r="73" spans="8:16" x14ac:dyDescent="0.2">
      <c r="H73" s="1"/>
      <c r="M73" s="9"/>
      <c r="N73" s="9"/>
      <c r="O73" s="9"/>
      <c r="P73" s="9"/>
    </row>
    <row r="74" spans="8:16" x14ac:dyDescent="0.2">
      <c r="H74" s="1"/>
      <c r="M74" s="9"/>
      <c r="N74" s="9"/>
      <c r="O74" s="9"/>
      <c r="P74" s="9"/>
    </row>
    <row r="75" spans="8:16" x14ac:dyDescent="0.2">
      <c r="H75" s="1"/>
      <c r="M75" s="9"/>
      <c r="N75" s="9"/>
      <c r="O75" s="9"/>
      <c r="P75" s="9"/>
    </row>
    <row r="76" spans="8:16" x14ac:dyDescent="0.2">
      <c r="H76" s="1"/>
      <c r="M76" s="9"/>
      <c r="N76" s="9"/>
      <c r="O76" s="9"/>
      <c r="P76" s="9"/>
    </row>
    <row r="77" spans="8:16" x14ac:dyDescent="0.2">
      <c r="H77" s="1"/>
      <c r="M77" s="9"/>
      <c r="N77" s="9"/>
      <c r="O77" s="9"/>
      <c r="P77" s="9"/>
    </row>
    <row r="78" spans="8:16" x14ac:dyDescent="0.2">
      <c r="H78" s="1"/>
      <c r="M78" s="9"/>
      <c r="N78" s="9"/>
      <c r="O78" s="9"/>
      <c r="P78" s="9"/>
    </row>
    <row r="79" spans="8:16" x14ac:dyDescent="0.2">
      <c r="H79" s="1"/>
      <c r="M79" s="9"/>
      <c r="N79" s="9"/>
      <c r="O79" s="9"/>
      <c r="P79" s="9"/>
    </row>
    <row r="80" spans="8:16" x14ac:dyDescent="0.2">
      <c r="H80" s="1"/>
      <c r="M80" s="9"/>
      <c r="N80" s="9"/>
      <c r="O80" s="9"/>
      <c r="P80" s="9"/>
    </row>
    <row r="81" spans="8:16" x14ac:dyDescent="0.2">
      <c r="H81" s="1"/>
      <c r="M81" s="9"/>
      <c r="N81" s="9"/>
      <c r="O81" s="9"/>
      <c r="P81" s="9"/>
    </row>
    <row r="82" spans="8:16" x14ac:dyDescent="0.2">
      <c r="H82" s="1"/>
      <c r="M82" s="9"/>
      <c r="N82" s="9"/>
      <c r="O82" s="9"/>
      <c r="P82" s="9"/>
    </row>
    <row r="83" spans="8:16" x14ac:dyDescent="0.2">
      <c r="H83" s="1"/>
      <c r="M83" s="9"/>
      <c r="N83" s="9"/>
      <c r="O83" s="9"/>
      <c r="P83" s="9"/>
    </row>
    <row r="84" spans="8:16" x14ac:dyDescent="0.2">
      <c r="H84" s="1"/>
      <c r="M84" s="9"/>
      <c r="N84" s="9"/>
      <c r="O84" s="9"/>
      <c r="P84" s="9"/>
    </row>
    <row r="85" spans="8:16" x14ac:dyDescent="0.2">
      <c r="H85" s="1"/>
      <c r="M85" s="9"/>
      <c r="N85" s="9"/>
      <c r="O85" s="9"/>
      <c r="P85" s="9"/>
    </row>
    <row r="86" spans="8:16" x14ac:dyDescent="0.2">
      <c r="H86" s="1"/>
      <c r="M86" s="9"/>
      <c r="N86" s="9"/>
      <c r="O86" s="9"/>
      <c r="P86" s="9"/>
    </row>
    <row r="87" spans="8:16" x14ac:dyDescent="0.2">
      <c r="H87" s="1"/>
      <c r="M87" s="9"/>
      <c r="N87" s="9"/>
      <c r="O87" s="9"/>
      <c r="P87" s="9"/>
    </row>
    <row r="88" spans="8:16" x14ac:dyDescent="0.2">
      <c r="H88" s="1"/>
      <c r="M88" s="9"/>
      <c r="N88" s="9"/>
      <c r="O88" s="9"/>
      <c r="P88" s="9"/>
    </row>
    <row r="89" spans="8:16" x14ac:dyDescent="0.2">
      <c r="H89" s="1"/>
      <c r="M89" s="9"/>
      <c r="N89" s="9"/>
      <c r="O89" s="9"/>
      <c r="P89" s="9"/>
    </row>
    <row r="90" spans="8:16" x14ac:dyDescent="0.2">
      <c r="H90" s="1"/>
      <c r="M90" s="9"/>
      <c r="N90" s="9"/>
      <c r="O90" s="9"/>
      <c r="P90" s="9"/>
    </row>
    <row r="91" spans="8:16" x14ac:dyDescent="0.2">
      <c r="H91" s="1"/>
      <c r="M91" s="9"/>
      <c r="N91" s="9"/>
      <c r="O91" s="9"/>
      <c r="P91" s="9"/>
    </row>
    <row r="92" spans="8:16" x14ac:dyDescent="0.2">
      <c r="H92" s="1"/>
      <c r="M92" s="9"/>
      <c r="N92" s="9"/>
      <c r="O92" s="9"/>
      <c r="P92" s="9"/>
    </row>
    <row r="93" spans="8:16" x14ac:dyDescent="0.2">
      <c r="H93" s="1"/>
      <c r="M93" s="9"/>
      <c r="N93" s="9"/>
      <c r="O93" s="9"/>
      <c r="P93" s="9"/>
    </row>
    <row r="94" spans="8:16" x14ac:dyDescent="0.2">
      <c r="H94" s="1"/>
      <c r="M94" s="9"/>
      <c r="N94" s="9"/>
      <c r="O94" s="9"/>
      <c r="P94" s="9"/>
    </row>
    <row r="95" spans="8:16" x14ac:dyDescent="0.2">
      <c r="H95" s="1"/>
      <c r="M95" s="9"/>
      <c r="N95" s="9"/>
      <c r="O95" s="9"/>
      <c r="P95" s="9"/>
    </row>
    <row r="96" spans="8:16" x14ac:dyDescent="0.2">
      <c r="H96" s="1"/>
      <c r="M96" s="9"/>
      <c r="N96" s="9"/>
      <c r="O96" s="9"/>
      <c r="P96" s="9"/>
    </row>
    <row r="97" spans="8:16" x14ac:dyDescent="0.2">
      <c r="H97" s="1"/>
      <c r="M97" s="9"/>
      <c r="N97" s="9"/>
      <c r="O97" s="9"/>
      <c r="P97" s="9"/>
    </row>
    <row r="98" spans="8:16" x14ac:dyDescent="0.2">
      <c r="H98" s="1"/>
      <c r="M98" s="9"/>
      <c r="N98" s="9"/>
      <c r="O98" s="9"/>
      <c r="P98" s="9"/>
    </row>
    <row r="99" spans="8:16" x14ac:dyDescent="0.2">
      <c r="H99" s="1"/>
      <c r="M99" s="9"/>
      <c r="N99" s="9"/>
      <c r="O99" s="9"/>
      <c r="P99" s="9"/>
    </row>
    <row r="100" spans="8:16" x14ac:dyDescent="0.2">
      <c r="H100" s="1"/>
      <c r="M100" s="9"/>
      <c r="N100" s="9"/>
      <c r="O100" s="9"/>
      <c r="P100" s="9"/>
    </row>
    <row r="101" spans="8:16" x14ac:dyDescent="0.2">
      <c r="H101" s="1"/>
      <c r="M101" s="9"/>
      <c r="N101" s="9"/>
      <c r="O101" s="9"/>
      <c r="P101" s="9"/>
    </row>
    <row r="102" spans="8:16" x14ac:dyDescent="0.2">
      <c r="H102" s="1"/>
      <c r="M102" s="9"/>
      <c r="N102" s="9"/>
      <c r="O102" s="9"/>
      <c r="P102" s="9"/>
    </row>
    <row r="103" spans="8:16" x14ac:dyDescent="0.2">
      <c r="H103" s="1"/>
      <c r="M103" s="9"/>
      <c r="N103" s="9"/>
      <c r="O103" s="9"/>
      <c r="P103" s="9"/>
    </row>
    <row r="104" spans="8:16" x14ac:dyDescent="0.2">
      <c r="H104" s="1"/>
      <c r="M104" s="1"/>
      <c r="N104" s="1"/>
      <c r="O104" s="1"/>
    </row>
    <row r="105" spans="8:16" x14ac:dyDescent="0.2">
      <c r="H105" s="1"/>
      <c r="M105" s="1"/>
      <c r="N105" s="1"/>
      <c r="O105" s="1"/>
    </row>
    <row r="106" spans="8:16" x14ac:dyDescent="0.2">
      <c r="H106" s="1"/>
      <c r="M106" s="1"/>
      <c r="N106" s="1"/>
      <c r="O106" s="1"/>
    </row>
    <row r="107" spans="8:16" x14ac:dyDescent="0.2">
      <c r="H107" s="1"/>
      <c r="M107" s="1"/>
      <c r="N107" s="1"/>
      <c r="O107" s="1"/>
    </row>
    <row r="108" spans="8:16" x14ac:dyDescent="0.2">
      <c r="H108" s="1"/>
      <c r="M108" s="1"/>
      <c r="N108" s="1"/>
      <c r="O108" s="1"/>
    </row>
    <row r="109" spans="8:16" x14ac:dyDescent="0.2">
      <c r="H109" s="1"/>
      <c r="M109" s="1"/>
      <c r="N109" s="1"/>
      <c r="O109" s="1"/>
    </row>
    <row r="110" spans="8:16" x14ac:dyDescent="0.2">
      <c r="H110" s="1"/>
      <c r="M110" s="1"/>
      <c r="N110" s="1"/>
      <c r="O110" s="1"/>
    </row>
    <row r="111" spans="8:16" x14ac:dyDescent="0.2">
      <c r="H111" s="1"/>
      <c r="M111" s="1"/>
      <c r="N111" s="1"/>
      <c r="O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60853-FE37-FF4E-B326-E4F0DFBF5AC2}">
  <sheetPr codeName="Sheet3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5F2D5-C68C-D540-B5D8-E7634E76674B}">
  <sheetPr codeName="Sheet2"/>
  <dimension ref="A1"/>
  <sheetViews>
    <sheetView workbookViewId="0">
      <selection activeCell="B3" sqref="B3:C20"/>
    </sheetView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2024-03-14T17:59:30Z</dcterms:created>
  <dcterms:modified xsi:type="dcterms:W3CDTF">2024-03-24T20:51:24Z</dcterms:modified>
</cp:coreProperties>
</file>