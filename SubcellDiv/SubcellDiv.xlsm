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8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hil3/Documents/calcs/SQ_multijunc/"/>
    </mc:Choice>
  </mc:AlternateContent>
  <xr:revisionPtr revIDLastSave="0" documentId="13_ncr:1_{9DF0AF3F-B61E-5344-825D-B6A06C55D61C}" xr6:coauthVersionLast="47" xr6:coauthVersionMax="47" xr10:uidLastSave="{00000000-0000-0000-0000-000000000000}"/>
  <bookViews>
    <workbookView xWindow="2320" yWindow="-20420" windowWidth="26480" windowHeight="18120" xr2:uid="{F39901F2-9B9C-3F40-87C6-17C8C951FC81}"/>
  </bookViews>
  <sheets>
    <sheet name="tandem" sheetId="1" r:id="rId1"/>
    <sheet name="calc" sheetId="4" r:id="rId2"/>
  </sheets>
  <definedNames>
    <definedName name="dP_dIm">tandem!$C$41</definedName>
    <definedName name="I0_1_mA">tandem!$C$7</definedName>
    <definedName name="I0_2_mA">tandem!$C$14</definedName>
    <definedName name="I1m_mA">tandem!$F$7</definedName>
    <definedName name="I2m_mA">tandem!$F$14</definedName>
    <definedName name="Ierror">tandem!$E$30</definedName>
    <definedName name="Im_mA">tandem!$C$21</definedName>
    <definedName name="Ip_1_mA">tandem!$C$8</definedName>
    <definedName name="Ip_2_mA">tandem!$C$15</definedName>
    <definedName name="Ip_mA">tandem!$C$2</definedName>
    <definedName name="Isc_mA">tandem!$C$25</definedName>
    <definedName name="kT_eV">tandem!$C$3</definedName>
    <definedName name="n_1">tandem!$C$6</definedName>
    <definedName name="n_2">tandem!$C$13</definedName>
    <definedName name="P1_mW">tandem!$C$10</definedName>
    <definedName name="P1m_mW">tandem!$F$8</definedName>
    <definedName name="P2m_mW">tandem!$F$15</definedName>
    <definedName name="Pm_mW">tandem!$C$22</definedName>
    <definedName name="solver_adj" localSheetId="0" hidden="1">tandem!$F$14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itr" localSheetId="0" hidden="1">2147483647</definedName>
    <definedName name="solver_lhs1" localSheetId="0" hidden="1">tandem!$C$21</definedName>
    <definedName name="solver_lhs2" localSheetId="0" hidden="1">tandem!$C$21</definedName>
    <definedName name="solver_lin" localSheetId="0" hidden="1">2</definedName>
    <definedName name="solver_mip" localSheetId="0" hidden="1">2147483647</definedName>
    <definedName name="solver_mni" localSheetId="0" hidden="1">2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0</definedName>
    <definedName name="solver_opt" localSheetId="0" hidden="1">tandem!$F$15</definedName>
    <definedName name="solver_pre" localSheetId="0" hidden="1">0.000001</definedName>
    <definedName name="solver_rbv" localSheetId="0" hidden="1">2</definedName>
    <definedName name="solver_rel1" localSheetId="0" hidden="1">1</definedName>
    <definedName name="solver_rel2" localSheetId="0" hidden="1">1</definedName>
    <definedName name="solver_rhs1" localSheetId="0" hidden="1">tandem!#REF!</definedName>
    <definedName name="solver_rhs2" localSheetId="0" hidden="1">tandem!#REF!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4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2</definedName>
    <definedName name="SolveState">tandem!$D$33</definedName>
    <definedName name="u">tandem!$E$29</definedName>
    <definedName name="V1_V">tandem!$C$9</definedName>
    <definedName name="V1m_V">tandem!$F$6</definedName>
    <definedName name="V1oc_V">tandem!$F$9</definedName>
    <definedName name="V2_V">tandem!$C$16</definedName>
    <definedName name="V2m_V">tandem!$F$13</definedName>
    <definedName name="V2oc_V">tandem!$F$16</definedName>
    <definedName name="Voc_V">tandem!$C$24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4" l="1"/>
  <c r="C5" i="4"/>
  <c r="C6" i="4"/>
  <c r="E6" i="4" s="1"/>
  <c r="C7" i="4"/>
  <c r="D7" i="4" s="1"/>
  <c r="C8" i="4"/>
  <c r="C9" i="4"/>
  <c r="C10" i="4"/>
  <c r="D10" i="4" s="1"/>
  <c r="C11" i="4"/>
  <c r="D11" i="4" s="1"/>
  <c r="C12" i="4"/>
  <c r="C13" i="4"/>
  <c r="C14" i="4"/>
  <c r="E14" i="4" s="1"/>
  <c r="C15" i="4"/>
  <c r="D15" i="4" s="1"/>
  <c r="C16" i="4"/>
  <c r="C17" i="4"/>
  <c r="D17" i="4" s="1"/>
  <c r="C18" i="4"/>
  <c r="E18" i="4" s="1"/>
  <c r="C19" i="4"/>
  <c r="E19" i="4" s="1"/>
  <c r="C20" i="4"/>
  <c r="C21" i="4"/>
  <c r="C22" i="4"/>
  <c r="E22" i="4" s="1"/>
  <c r="C23" i="4"/>
  <c r="D23" i="4" s="1"/>
  <c r="C24" i="4"/>
  <c r="C25" i="4"/>
  <c r="C26" i="4"/>
  <c r="D26" i="4" s="1"/>
  <c r="C27" i="4"/>
  <c r="D27" i="4" s="1"/>
  <c r="C28" i="4"/>
  <c r="C29" i="4"/>
  <c r="C30" i="4"/>
  <c r="C31" i="4"/>
  <c r="D31" i="4" s="1"/>
  <c r="C32" i="4"/>
  <c r="C33" i="4"/>
  <c r="C34" i="4"/>
  <c r="E34" i="4" s="1"/>
  <c r="C35" i="4"/>
  <c r="E35" i="4" s="1"/>
  <c r="C36" i="4"/>
  <c r="C37" i="4"/>
  <c r="C38" i="4"/>
  <c r="E38" i="4" s="1"/>
  <c r="C39" i="4"/>
  <c r="D39" i="4" s="1"/>
  <c r="C40" i="4"/>
  <c r="C41" i="4"/>
  <c r="C42" i="4"/>
  <c r="D42" i="4" s="1"/>
  <c r="C43" i="4"/>
  <c r="D43" i="4" s="1"/>
  <c r="C44" i="4"/>
  <c r="C45" i="4"/>
  <c r="D45" i="4" s="1"/>
  <c r="C46" i="4"/>
  <c r="E46" i="4" s="1"/>
  <c r="C47" i="4"/>
  <c r="D47" i="4" s="1"/>
  <c r="C48" i="4"/>
  <c r="C49" i="4"/>
  <c r="C50" i="4"/>
  <c r="E50" i="4" s="1"/>
  <c r="C51" i="4"/>
  <c r="E51" i="4" s="1"/>
  <c r="C52" i="4"/>
  <c r="C53" i="4"/>
  <c r="C3" i="4"/>
  <c r="E3" i="4" s="1"/>
  <c r="D5" i="4"/>
  <c r="D8" i="4"/>
  <c r="E8" i="4"/>
  <c r="D9" i="4"/>
  <c r="D12" i="4"/>
  <c r="E12" i="4"/>
  <c r="D13" i="4"/>
  <c r="D16" i="4"/>
  <c r="E16" i="4"/>
  <c r="D20" i="4"/>
  <c r="E20" i="4"/>
  <c r="D21" i="4"/>
  <c r="D24" i="4"/>
  <c r="E24" i="4"/>
  <c r="D25" i="4"/>
  <c r="E26" i="4"/>
  <c r="D28" i="4"/>
  <c r="E28" i="4"/>
  <c r="D29" i="4"/>
  <c r="E30" i="4"/>
  <c r="D30" i="4"/>
  <c r="D32" i="4"/>
  <c r="E32" i="4"/>
  <c r="D33" i="4"/>
  <c r="D34" i="4"/>
  <c r="D36" i="4"/>
  <c r="E36" i="4"/>
  <c r="D37" i="4"/>
  <c r="D40" i="4"/>
  <c r="E40" i="4"/>
  <c r="D41" i="4"/>
  <c r="D44" i="4"/>
  <c r="E44" i="4"/>
  <c r="D48" i="4"/>
  <c r="E48" i="4"/>
  <c r="D49" i="4"/>
  <c r="D52" i="4"/>
  <c r="E52" i="4"/>
  <c r="D53" i="4"/>
  <c r="E4" i="4"/>
  <c r="D4" i="4"/>
  <c r="C43" i="1"/>
  <c r="C44" i="1" s="1"/>
  <c r="B57" i="1" s="1"/>
  <c r="B3" i="4"/>
  <c r="G3" i="4"/>
  <c r="H3" i="4"/>
  <c r="B4" i="4"/>
  <c r="G4" i="4"/>
  <c r="H4" i="4"/>
  <c r="B5" i="4"/>
  <c r="G5" i="4"/>
  <c r="H5" i="4"/>
  <c r="B6" i="4"/>
  <c r="G6" i="4"/>
  <c r="H6" i="4"/>
  <c r="B7" i="4"/>
  <c r="G7" i="4"/>
  <c r="H7" i="4"/>
  <c r="B8" i="4"/>
  <c r="G8" i="4"/>
  <c r="H8" i="4"/>
  <c r="B9" i="4"/>
  <c r="G9" i="4"/>
  <c r="H9" i="4"/>
  <c r="B10" i="4"/>
  <c r="G10" i="4"/>
  <c r="H10" i="4"/>
  <c r="B11" i="4"/>
  <c r="G11" i="4"/>
  <c r="H11" i="4"/>
  <c r="B12" i="4"/>
  <c r="G12" i="4"/>
  <c r="H12" i="4"/>
  <c r="B13" i="4"/>
  <c r="G13" i="4"/>
  <c r="H13" i="4"/>
  <c r="B14" i="4"/>
  <c r="G14" i="4"/>
  <c r="H14" i="4"/>
  <c r="B15" i="4"/>
  <c r="G15" i="4"/>
  <c r="H15" i="4"/>
  <c r="B16" i="4"/>
  <c r="G16" i="4"/>
  <c r="H16" i="4"/>
  <c r="B17" i="4"/>
  <c r="G17" i="4"/>
  <c r="H17" i="4"/>
  <c r="B18" i="4"/>
  <c r="G18" i="4"/>
  <c r="H18" i="4"/>
  <c r="B19" i="4"/>
  <c r="G19" i="4"/>
  <c r="H19" i="4"/>
  <c r="B20" i="4"/>
  <c r="G20" i="4"/>
  <c r="H20" i="4"/>
  <c r="B21" i="4"/>
  <c r="G21" i="4"/>
  <c r="H21" i="4"/>
  <c r="B22" i="4"/>
  <c r="G22" i="4"/>
  <c r="H22" i="4"/>
  <c r="B23" i="4"/>
  <c r="G23" i="4"/>
  <c r="H23" i="4"/>
  <c r="B24" i="4"/>
  <c r="G24" i="4"/>
  <c r="H24" i="4"/>
  <c r="B25" i="4"/>
  <c r="G25" i="4"/>
  <c r="H25" i="4"/>
  <c r="B26" i="4"/>
  <c r="G26" i="4"/>
  <c r="H26" i="4"/>
  <c r="B27" i="4"/>
  <c r="G27" i="4"/>
  <c r="H27" i="4"/>
  <c r="B28" i="4"/>
  <c r="G28" i="4"/>
  <c r="H28" i="4"/>
  <c r="B29" i="4"/>
  <c r="G29" i="4"/>
  <c r="H29" i="4"/>
  <c r="B30" i="4"/>
  <c r="G30" i="4"/>
  <c r="H30" i="4"/>
  <c r="B31" i="4"/>
  <c r="G31" i="4"/>
  <c r="H31" i="4"/>
  <c r="B32" i="4"/>
  <c r="G32" i="4"/>
  <c r="H32" i="4"/>
  <c r="B33" i="4"/>
  <c r="G33" i="4"/>
  <c r="H33" i="4"/>
  <c r="B34" i="4"/>
  <c r="G34" i="4"/>
  <c r="H34" i="4"/>
  <c r="B35" i="4"/>
  <c r="G35" i="4"/>
  <c r="H35" i="4"/>
  <c r="B36" i="4"/>
  <c r="G36" i="4"/>
  <c r="H36" i="4"/>
  <c r="B37" i="4"/>
  <c r="G37" i="4"/>
  <c r="H37" i="4"/>
  <c r="B38" i="4"/>
  <c r="G38" i="4"/>
  <c r="H38" i="4"/>
  <c r="B39" i="4"/>
  <c r="G39" i="4"/>
  <c r="H39" i="4"/>
  <c r="B40" i="4"/>
  <c r="G40" i="4"/>
  <c r="H40" i="4"/>
  <c r="B41" i="4"/>
  <c r="G41" i="4"/>
  <c r="H41" i="4"/>
  <c r="B42" i="4"/>
  <c r="G42" i="4"/>
  <c r="H42" i="4"/>
  <c r="B43" i="4"/>
  <c r="G43" i="4"/>
  <c r="H43" i="4"/>
  <c r="B44" i="4"/>
  <c r="G44" i="4"/>
  <c r="H44" i="4"/>
  <c r="B45" i="4"/>
  <c r="G45" i="4"/>
  <c r="H45" i="4"/>
  <c r="B46" i="4"/>
  <c r="G46" i="4"/>
  <c r="H46" i="4"/>
  <c r="B47" i="4"/>
  <c r="G47" i="4"/>
  <c r="H47" i="4"/>
  <c r="B48" i="4"/>
  <c r="G48" i="4"/>
  <c r="H48" i="4"/>
  <c r="B49" i="4"/>
  <c r="G49" i="4"/>
  <c r="H49" i="4"/>
  <c r="B50" i="4"/>
  <c r="G50" i="4"/>
  <c r="H50" i="4"/>
  <c r="B51" i="4"/>
  <c r="G51" i="4"/>
  <c r="H51" i="4"/>
  <c r="B52" i="4"/>
  <c r="G52" i="4"/>
  <c r="H52" i="4"/>
  <c r="B53" i="4"/>
  <c r="G53" i="4"/>
  <c r="H53" i="4"/>
  <c r="D51" i="4" l="1"/>
  <c r="F51" i="4" s="1"/>
  <c r="E23" i="4"/>
  <c r="F23" i="4" s="1"/>
  <c r="D19" i="4"/>
  <c r="D3" i="4"/>
  <c r="D50" i="4"/>
  <c r="D46" i="4"/>
  <c r="D18" i="4"/>
  <c r="D14" i="4"/>
  <c r="E42" i="4"/>
  <c r="E39" i="4"/>
  <c r="F39" i="4" s="1"/>
  <c r="D35" i="4"/>
  <c r="F35" i="4" s="1"/>
  <c r="E10" i="4"/>
  <c r="E7" i="4"/>
  <c r="E43" i="4"/>
  <c r="E27" i="4"/>
  <c r="E11" i="4"/>
  <c r="E47" i="4"/>
  <c r="D38" i="4"/>
  <c r="E31" i="4"/>
  <c r="D22" i="4"/>
  <c r="E15" i="4"/>
  <c r="D6" i="4"/>
  <c r="E45" i="4"/>
  <c r="F45" i="4" s="1"/>
  <c r="E41" i="4"/>
  <c r="F41" i="4" s="1"/>
  <c r="E37" i="4"/>
  <c r="F37" i="4" s="1"/>
  <c r="E33" i="4"/>
  <c r="F33" i="4" s="1"/>
  <c r="E29" i="4"/>
  <c r="F29" i="4" s="1"/>
  <c r="E25" i="4"/>
  <c r="F25" i="4" s="1"/>
  <c r="E21" i="4"/>
  <c r="F21" i="4" s="1"/>
  <c r="E17" i="4"/>
  <c r="F17" i="4" s="1"/>
  <c r="E13" i="4"/>
  <c r="F13" i="4" s="1"/>
  <c r="E9" i="4"/>
  <c r="F9" i="4" s="1"/>
  <c r="E5" i="4"/>
  <c r="F5" i="4" s="1"/>
  <c r="E53" i="4"/>
  <c r="F53" i="4" s="1"/>
  <c r="E49" i="4"/>
  <c r="F49" i="4" s="1"/>
  <c r="C57" i="1"/>
  <c r="C50" i="1" s="1"/>
  <c r="B50" i="1"/>
  <c r="C45" i="1"/>
  <c r="F16" i="4" l="1"/>
  <c r="F4" i="4"/>
  <c r="F8" i="4"/>
  <c r="F31" i="4"/>
  <c r="F43" i="4"/>
  <c r="F20" i="4"/>
  <c r="F27" i="4"/>
  <c r="F47" i="4"/>
  <c r="F34" i="4"/>
  <c r="F50" i="4"/>
  <c r="F10" i="4"/>
  <c r="F46" i="4"/>
  <c r="F42" i="4"/>
  <c r="F12" i="4"/>
  <c r="F32" i="4"/>
  <c r="F48" i="4"/>
  <c r="F7" i="4"/>
  <c r="F15" i="4"/>
  <c r="F44" i="4"/>
  <c r="F22" i="4"/>
  <c r="F6" i="4"/>
  <c r="F24" i="4"/>
  <c r="B54" i="1"/>
  <c r="B56" i="1"/>
  <c r="B55" i="1"/>
  <c r="F28" i="4"/>
  <c r="F11" i="4"/>
  <c r="F19" i="4"/>
  <c r="F14" i="4"/>
  <c r="F38" i="4"/>
  <c r="F26" i="4"/>
  <c r="F40" i="4"/>
  <c r="F36" i="4"/>
  <c r="F52" i="4"/>
  <c r="F18" i="4"/>
  <c r="F30" i="4"/>
  <c r="C56" i="1" l="1"/>
  <c r="C49" i="1" s="1"/>
  <c r="B49" i="1"/>
  <c r="C54" i="1"/>
  <c r="B47" i="1"/>
  <c r="C47" i="1" s="1"/>
  <c r="C55" i="1"/>
  <c r="C48" i="1" s="1"/>
  <c r="B48" i="1"/>
  <c r="C51" i="1" l="1"/>
  <c r="C58" i="1"/>
  <c r="C59" i="1" s="1"/>
  <c r="C52" i="1" s="1"/>
  <c r="C4" i="1" l="1"/>
  <c r="C15" i="1" s="1"/>
  <c r="F13" i="1" s="1"/>
  <c r="E28" i="1" l="1"/>
  <c r="F15" i="1"/>
  <c r="C16" i="1"/>
  <c r="C17" i="1" s="1"/>
  <c r="J9" i="4"/>
  <c r="J25" i="4"/>
  <c r="J41" i="4"/>
  <c r="J38" i="4"/>
  <c r="J14" i="4"/>
  <c r="J46" i="4"/>
  <c r="J15" i="4"/>
  <c r="J31" i="4"/>
  <c r="J47" i="4"/>
  <c r="J50" i="4"/>
  <c r="J16" i="4"/>
  <c r="J32" i="4"/>
  <c r="J48" i="4"/>
  <c r="J13" i="4"/>
  <c r="J18" i="4"/>
  <c r="J35" i="4"/>
  <c r="J20" i="4"/>
  <c r="J17" i="4"/>
  <c r="J33" i="4"/>
  <c r="J49" i="4"/>
  <c r="J6" i="4"/>
  <c r="J22" i="4"/>
  <c r="J7" i="4"/>
  <c r="J23" i="4"/>
  <c r="J39" i="4"/>
  <c r="J26" i="4"/>
  <c r="J8" i="4"/>
  <c r="J24" i="4"/>
  <c r="J40" i="4"/>
  <c r="J21" i="4"/>
  <c r="J37" i="4"/>
  <c r="J53" i="4"/>
  <c r="J10" i="4"/>
  <c r="J30" i="4"/>
  <c r="J11" i="4"/>
  <c r="J43" i="4"/>
  <c r="J34" i="4"/>
  <c r="J28" i="4"/>
  <c r="J29" i="4"/>
  <c r="J42" i="4"/>
  <c r="J19" i="4"/>
  <c r="J4" i="4"/>
  <c r="J52" i="4"/>
  <c r="J5" i="4"/>
  <c r="J27" i="4"/>
  <c r="J12" i="4"/>
  <c r="J44" i="4"/>
  <c r="J45" i="4"/>
  <c r="J3" i="4"/>
  <c r="J51" i="4"/>
  <c r="J36" i="4"/>
  <c r="C8" i="1"/>
  <c r="F16" i="1"/>
  <c r="F17" i="1"/>
  <c r="E27" i="1" l="1"/>
  <c r="C25" i="1" s="1"/>
  <c r="C9" i="1"/>
  <c r="I18" i="4"/>
  <c r="I34" i="4"/>
  <c r="I50" i="4"/>
  <c r="I11" i="4"/>
  <c r="I27" i="4"/>
  <c r="I8" i="4"/>
  <c r="I24" i="4"/>
  <c r="I47" i="4"/>
  <c r="I33" i="4"/>
  <c r="I5" i="4"/>
  <c r="I6" i="4"/>
  <c r="I22" i="4"/>
  <c r="I38" i="4"/>
  <c r="I15" i="4"/>
  <c r="I35" i="4"/>
  <c r="I12" i="4"/>
  <c r="I28" i="4"/>
  <c r="I44" i="4"/>
  <c r="I53" i="4"/>
  <c r="I10" i="4"/>
  <c r="I26" i="4"/>
  <c r="I42" i="4"/>
  <c r="I3" i="4"/>
  <c r="I19" i="4"/>
  <c r="I43" i="4"/>
  <c r="I16" i="4"/>
  <c r="I32" i="4"/>
  <c r="I48" i="4"/>
  <c r="I9" i="4"/>
  <c r="I25" i="4"/>
  <c r="I41" i="4"/>
  <c r="I31" i="4"/>
  <c r="I17" i="4"/>
  <c r="I49" i="4"/>
  <c r="I21" i="4"/>
  <c r="I14" i="4"/>
  <c r="I30" i="4"/>
  <c r="I46" i="4"/>
  <c r="I7" i="4"/>
  <c r="I23" i="4"/>
  <c r="I4" i="4"/>
  <c r="I20" i="4"/>
  <c r="I36" i="4"/>
  <c r="I52" i="4"/>
  <c r="I13" i="4"/>
  <c r="I29" i="4"/>
  <c r="I45" i="4"/>
  <c r="I39" i="4"/>
  <c r="I40" i="4"/>
  <c r="I51" i="4"/>
  <c r="I37" i="4"/>
  <c r="C24" i="1"/>
  <c r="F10" i="1"/>
  <c r="F6" i="1"/>
  <c r="F8" i="1" s="1"/>
  <c r="F9" i="1"/>
  <c r="C20" i="1" l="1"/>
  <c r="C22" i="1" s="1"/>
  <c r="C10" i="1"/>
  <c r="E30" i="1"/>
</calcChain>
</file>

<file path=xl/sharedStrings.xml><?xml version="1.0" encoding="utf-8"?>
<sst xmlns="http://schemas.openxmlformats.org/spreadsheetml/2006/main" count="64" uniqueCount="53">
  <si>
    <t>Ip (mA)</t>
  </si>
  <si>
    <t>kT (eV)</t>
  </si>
  <si>
    <t>Ip_1 (mA)</t>
  </si>
  <si>
    <t>Ip_2 (mA)</t>
  </si>
  <si>
    <t>V1 (V)</t>
  </si>
  <si>
    <t>V2(V)</t>
  </si>
  <si>
    <t>I0_1 (mA)</t>
  </si>
  <si>
    <t>I0_2 (mA)</t>
  </si>
  <si>
    <t>I (mA)</t>
  </si>
  <si>
    <t>n_1</t>
  </si>
  <si>
    <t>n_2</t>
  </si>
  <si>
    <t>n_1+n_2</t>
  </si>
  <si>
    <t>f</t>
  </si>
  <si>
    <t>1-f</t>
  </si>
  <si>
    <t>I_p1</t>
  </si>
  <si>
    <t>I_p2</t>
  </si>
  <si>
    <t>V (V)</t>
  </si>
  <si>
    <t>V2 (V)</t>
  </si>
  <si>
    <t>Isc (mA)</t>
  </si>
  <si>
    <t>u</t>
  </si>
  <si>
    <t>m1</t>
  </si>
  <si>
    <t>m2</t>
  </si>
  <si>
    <t>Voc (V)</t>
  </si>
  <si>
    <t>I_1</t>
  </si>
  <si>
    <t>I_2</t>
  </si>
  <si>
    <t>Ierror</t>
  </si>
  <si>
    <t>max. power point</t>
  </si>
  <si>
    <t>solve for Isc:</t>
  </si>
  <si>
    <t>Vm (V)</t>
  </si>
  <si>
    <t>Im (mA)</t>
  </si>
  <si>
    <t>cell 1:</t>
  </si>
  <si>
    <t>V1m (V)</t>
  </si>
  <si>
    <t>I1m (mA)</t>
  </si>
  <si>
    <t>P1m (mW)</t>
  </si>
  <si>
    <t>Pm (mW)</t>
  </si>
  <si>
    <t>V2m (V)</t>
  </si>
  <si>
    <t>cell 2:</t>
  </si>
  <si>
    <t>I2m (mA)</t>
  </si>
  <si>
    <t>P2m (mW)</t>
  </si>
  <si>
    <t>I1 (mA)</t>
  </si>
  <si>
    <t>V1oc (V)</t>
  </si>
  <si>
    <t>I1sc (mA)</t>
  </si>
  <si>
    <t>V2oc (V)</t>
  </si>
  <si>
    <t>I2sc (mA)</t>
  </si>
  <si>
    <t>I2 (mA)</t>
  </si>
  <si>
    <t>V1c (V)</t>
  </si>
  <si>
    <t>V2c V)</t>
  </si>
  <si>
    <t>I_sc (mA)</t>
  </si>
  <si>
    <t>I_p1 (mA)</t>
  </si>
  <si>
    <t>I_p2 (mA)</t>
  </si>
  <si>
    <t>P1 (mW)</t>
  </si>
  <si>
    <t>P2 (mW)</t>
  </si>
  <si>
    <t>Enter data here: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</si>
</sst>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000"/>
    <numFmt numFmtId="166" formatCode="0.00000"/>
    <numFmt numFmtId="167" formatCode="0.0000000"/>
  </numFmts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i/>
      <sz val="14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4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11" fontId="0" fillId="0" borderId="0" xfId="0" applyNumberFormat="1"/>
    <xf numFmtId="164" fontId="0" fillId="0" borderId="0" xfId="0" applyNumberFormat="1"/>
    <xf numFmtId="166" fontId="0" fillId="0" borderId="0" xfId="0" applyNumberFormat="1"/>
    <xf numFmtId="167" fontId="0" fillId="0" borderId="0" xfId="0" applyNumberFormat="1"/>
    <xf numFmtId="2" fontId="0" fillId="0" borderId="0" xfId="0" applyNumberFormat="1"/>
    <xf numFmtId="0" fontId="3" fillId="0" borderId="0" xfId="0" applyFont="1"/>
    <xf numFmtId="165" fontId="0" fillId="0" borderId="0" xfId="0" applyNumberFormat="1"/>
    <xf numFmtId="165" fontId="1" fillId="0" borderId="0" xfId="0" applyNumberFormat="1" applyFont="1"/>
    <xf numFmtId="0" fontId="0" fillId="2" borderId="0" xfId="0" applyFill="1"/>
    <xf numFmtId="0" fontId="0" fillId="3" borderId="0" xfId="0" applyFill="1"/>
    <xf numFmtId="0" fontId="0" fillId="4" borderId="0" xfId="0" applyFill="1"/>
    <xf numFmtId="11" fontId="0" fillId="5" borderId="0" xfId="0" applyNumberForma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11" fontId="0" fillId="0" borderId="4" xfId="0" applyNumberFormat="1" applyBorder="1"/>
    <xf numFmtId="0" fontId="0" fillId="0" borderId="5" xfId="0" applyBorder="1"/>
    <xf numFmtId="11" fontId="0" fillId="0" borderId="6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tandem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calc!$F$3:$F$53</c:f>
              <c:numCache>
                <c:formatCode>0.0000</c:formatCode>
                <c:ptCount val="51"/>
                <c:pt idx="0">
                  <c:v>0</c:v>
                </c:pt>
                <c:pt idx="1">
                  <c:v>2.3998130806015219</c:v>
                </c:pt>
                <c:pt idx="2">
                  <c:v>2.4277147145010503</c:v>
                </c:pt>
                <c:pt idx="3">
                  <c:v>2.4444463482424679</c:v>
                </c:pt>
                <c:pt idx="4">
                  <c:v>2.4566095152750682</c:v>
                </c:pt>
                <c:pt idx="5">
                  <c:v>2.466272964347505</c:v>
                </c:pt>
                <c:pt idx="6">
                  <c:v>2.4743581547015472</c:v>
                </c:pt>
                <c:pt idx="7">
                  <c:v>2.4813566171546615</c:v>
                </c:pt>
                <c:pt idx="8">
                  <c:v>2.4875617510561847</c:v>
                </c:pt>
                <c:pt idx="9">
                  <c:v>2.4931628048054062</c:v>
                </c:pt>
                <c:pt idx="10">
                  <c:v>2.4982889955931302</c:v>
                </c:pt>
                <c:pt idx="11">
                  <c:v>2.5030324882214865</c:v>
                </c:pt>
                <c:pt idx="12">
                  <c:v>2.5074613328993598</c:v>
                </c:pt>
                <c:pt idx="13">
                  <c:v>2.5116272065311271</c:v>
                </c:pt>
                <c:pt idx="14">
                  <c:v>2.5155702769396271</c:v>
                </c:pt>
                <c:pt idx="15">
                  <c:v>2.5193223848371469</c:v>
                </c:pt>
                <c:pt idx="16">
                  <c:v>2.5229091967555473</c:v>
                </c:pt>
                <c:pt idx="17">
                  <c:v>2.5263517041367871</c:v>
                </c:pt>
                <c:pt idx="18">
                  <c:v>2.5296672932843798</c:v>
                </c:pt>
                <c:pt idx="19">
                  <c:v>2.5328705256450315</c:v>
                </c:pt>
                <c:pt idx="20">
                  <c:v>2.5359737177143762</c:v>
                </c:pt>
                <c:pt idx="21">
                  <c:v>2.5389873793106257</c:v>
                </c:pt>
                <c:pt idx="22">
                  <c:v>2.5419205498004578</c:v>
                </c:pt>
                <c:pt idx="23">
                  <c:v>2.544781059526823</c:v>
                </c:pt>
                <c:pt idx="24">
                  <c:v>2.5475757355597128</c:v>
                </c:pt>
                <c:pt idx="25">
                  <c:v>2.5503105654205971</c:v>
                </c:pt>
                <c:pt idx="26">
                  <c:v>2.552990828679444</c:v>
                </c:pt>
                <c:pt idx="27">
                  <c:v>2.5556212037055586</c:v>
                </c:pt>
                <c:pt idx="28">
                  <c:v>2.5582058549981319</c:v>
                </c:pt>
                <c:pt idx="29">
                  <c:v>2.5607485051884771</c:v>
                </c:pt>
                <c:pt idx="30">
                  <c:v>2.5632524948340709</c:v>
                </c:pt>
                <c:pt idx="31">
                  <c:v>2.5657208324078571</c:v>
                </c:pt>
                <c:pt idx="32">
                  <c:v>2.5681562363517223</c:v>
                </c:pt>
                <c:pt idx="33">
                  <c:v>2.5705611706602536</c:v>
                </c:pt>
                <c:pt idx="34">
                  <c:v>2.5729378751543064</c:v>
                </c:pt>
                <c:pt idx="35">
                  <c:v>2.5752883913685025</c:v>
                </c:pt>
                <c:pt idx="36">
                  <c:v>2.577614584794425</c:v>
                </c:pt>
                <c:pt idx="37">
                  <c:v>2.5799181640789559</c:v>
                </c:pt>
                <c:pt idx="38">
                  <c:v>2.5822006976652299</c:v>
                </c:pt>
                <c:pt idx="39">
                  <c:v>2.5844636282749809</c:v>
                </c:pt>
                <c:pt idx="40">
                  <c:v>2.5867082855603876</c:v>
                </c:pt>
                <c:pt idx="41">
                  <c:v>2.5889358971967349</c:v>
                </c:pt>
                <c:pt idx="42">
                  <c:v>2.5911475986414629</c:v>
                </c:pt>
                <c:pt idx="43">
                  <c:v>2.5933444417479627</c:v>
                </c:pt>
                <c:pt idx="44">
                  <c:v>2.5955274023921886</c:v>
                </c:pt>
                <c:pt idx="45">
                  <c:v>2.597697387245236</c:v>
                </c:pt>
                <c:pt idx="46">
                  <c:v>2.5998552398045733</c:v>
                </c:pt>
                <c:pt idx="47">
                  <c:v>2.6020017457796225</c:v>
                </c:pt>
                <c:pt idx="48">
                  <c:v>2.604137637913265</c:v>
                </c:pt>
                <c:pt idx="49">
                  <c:v>2.6062636003090969</c:v>
                </c:pt>
                <c:pt idx="50">
                  <c:v>2.6083802723243332</c:v>
                </c:pt>
              </c:numCache>
            </c:numRef>
          </c:xVal>
          <c:yVal>
            <c:numRef>
              <c:f>calc!$C$3:$C$53</c:f>
              <c:numCache>
                <c:formatCode>0.0000</c:formatCode>
                <c:ptCount val="51"/>
                <c:pt idx="0">
                  <c:v>0.90360700495514812</c:v>
                </c:pt>
                <c:pt idx="1">
                  <c:v>0.89298356003748436</c:v>
                </c:pt>
                <c:pt idx="2">
                  <c:v>0.8821455072967832</c:v>
                </c:pt>
                <c:pt idx="3">
                  <c:v>0.87108851136743926</c:v>
                </c:pt>
                <c:pt idx="4">
                  <c:v>0.85980814930365224</c:v>
                </c:pt>
                <c:pt idx="5">
                  <c:v>0.84829990881018968</c:v>
                </c:pt>
                <c:pt idx="6">
                  <c:v>0.83655918643740912</c:v>
                </c:pt>
                <c:pt idx="7">
                  <c:v>0.82458128573981626</c:v>
                </c:pt>
                <c:pt idx="8">
                  <c:v>0.81236141539742457</c:v>
                </c:pt>
                <c:pt idx="9">
                  <c:v>0.79989468729916335</c:v>
                </c:pt>
                <c:pt idx="10">
                  <c:v>0.78717611458756809</c:v>
                </c:pt>
                <c:pt idx="11">
                  <c:v>0.77420060966397086</c:v>
                </c:pt>
                <c:pt idx="12">
                  <c:v>0.7609629821533932</c:v>
                </c:pt>
                <c:pt idx="13">
                  <c:v>0.74745793682832673</c:v>
                </c:pt>
                <c:pt idx="14">
                  <c:v>0.73368007149057202</c:v>
                </c:pt>
                <c:pt idx="15">
                  <c:v>0.71962387481028622</c:v>
                </c:pt>
                <c:pt idx="16">
                  <c:v>0.70528372412137919</c:v>
                </c:pt>
                <c:pt idx="17">
                  <c:v>0.69065388317237064</c:v>
                </c:pt>
                <c:pt idx="18">
                  <c:v>0.67572849983181393</c:v>
                </c:pt>
                <c:pt idx="19">
                  <c:v>0.66050160374736466</c:v>
                </c:pt>
                <c:pt idx="20">
                  <c:v>0.64496710395756152</c:v>
                </c:pt>
                <c:pt idx="21">
                  <c:v>0.62911878645535901</c:v>
                </c:pt>
                <c:pt idx="22">
                  <c:v>0.61295031170244241</c:v>
                </c:pt>
                <c:pt idx="23">
                  <c:v>0.59645521209332819</c:v>
                </c:pt>
                <c:pt idx="24">
                  <c:v>0.57962688936823503</c:v>
                </c:pt>
                <c:pt idx="25">
                  <c:v>0.56245861197369229</c:v>
                </c:pt>
                <c:pt idx="26">
                  <c:v>0.54494351236982874</c:v>
                </c:pt>
                <c:pt idx="27">
                  <c:v>0.52707458428326504</c:v>
                </c:pt>
                <c:pt idx="28">
                  <c:v>0.50884467990451099</c:v>
                </c:pt>
                <c:pt idx="29">
                  <c:v>0.49024650702874661</c:v>
                </c:pt>
                <c:pt idx="30">
                  <c:v>0.47127262613884252</c:v>
                </c:pt>
                <c:pt idx="31">
                  <c:v>0.45191544742945422</c:v>
                </c:pt>
                <c:pt idx="32">
                  <c:v>0.43216722777099886</c:v>
                </c:pt>
                <c:pt idx="33">
                  <c:v>0.41202006761229998</c:v>
                </c:pt>
                <c:pt idx="34">
                  <c:v>0.39146590782066176</c:v>
                </c:pt>
                <c:pt idx="35">
                  <c:v>0.37049652645810843</c:v>
                </c:pt>
                <c:pt idx="36">
                  <c:v>0.34910353549249951</c:v>
                </c:pt>
                <c:pt idx="37">
                  <c:v>0.32727837744220495</c:v>
                </c:pt>
                <c:pt idx="38">
                  <c:v>0.30501232195299866</c:v>
                </c:pt>
                <c:pt idx="39">
                  <c:v>0.28229646230580024</c:v>
                </c:pt>
                <c:pt idx="40">
                  <c:v>0.25912171185386851</c:v>
                </c:pt>
                <c:pt idx="41">
                  <c:v>0.23547880038802238</c:v>
                </c:pt>
                <c:pt idx="42">
                  <c:v>0.21135827042843247</c:v>
                </c:pt>
                <c:pt idx="43">
                  <c:v>0.186750473441503</c:v>
                </c:pt>
                <c:pt idx="44">
                  <c:v>0.16164556598033117</c:v>
                </c:pt>
                <c:pt idx="45">
                  <c:v>0.13603350574719583</c:v>
                </c:pt>
                <c:pt idx="46">
                  <c:v>0.10990404757650538</c:v>
                </c:pt>
                <c:pt idx="47">
                  <c:v>8.3246739336593864E-2</c:v>
                </c:pt>
                <c:pt idx="48">
                  <c:v>5.6050917748730049E-2</c:v>
                </c:pt>
                <c:pt idx="49">
                  <c:v>2.8305704121662809E-2</c:v>
                </c:pt>
                <c:pt idx="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9A-5746-AEAC-2496E8DF0B14}"/>
            </c:ext>
          </c:extLst>
        </c:ser>
        <c:ser>
          <c:idx val="2"/>
          <c:order val="1"/>
          <c:tx>
            <c:v>cell1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calc!$G$3:$G$53</c:f>
              <c:numCache>
                <c:formatCode>0.0000</c:formatCode>
                <c:ptCount val="51"/>
                <c:pt idx="0">
                  <c:v>0</c:v>
                </c:pt>
                <c:pt idx="1">
                  <c:v>3.0777060214982114E-2</c:v>
                </c:pt>
                <c:pt idx="2">
                  <c:v>6.1554120429964228E-2</c:v>
                </c:pt>
                <c:pt idx="3">
                  <c:v>9.2331180644946331E-2</c:v>
                </c:pt>
                <c:pt idx="4">
                  <c:v>0.12310824085992846</c:v>
                </c:pt>
                <c:pt idx="5">
                  <c:v>0.15388530107491058</c:v>
                </c:pt>
                <c:pt idx="6">
                  <c:v>0.18466236128989266</c:v>
                </c:pt>
                <c:pt idx="7">
                  <c:v>0.2154394215048748</c:v>
                </c:pt>
                <c:pt idx="8">
                  <c:v>0.24621648171985691</c:v>
                </c:pt>
                <c:pt idx="9">
                  <c:v>0.27699354193483899</c:v>
                </c:pt>
                <c:pt idx="10">
                  <c:v>0.30777060214982116</c:v>
                </c:pt>
                <c:pt idx="11">
                  <c:v>0.33854766236480321</c:v>
                </c:pt>
                <c:pt idx="12">
                  <c:v>0.36932472257978533</c:v>
                </c:pt>
                <c:pt idx="13">
                  <c:v>0.40010178279476749</c:v>
                </c:pt>
                <c:pt idx="14">
                  <c:v>0.4308788430097496</c:v>
                </c:pt>
                <c:pt idx="15">
                  <c:v>0.46165590322473166</c:v>
                </c:pt>
                <c:pt idx="16">
                  <c:v>0.49243296343971382</c:v>
                </c:pt>
                <c:pt idx="17">
                  <c:v>0.52321002365469593</c:v>
                </c:pt>
                <c:pt idx="18">
                  <c:v>0.55398708386967799</c:v>
                </c:pt>
                <c:pt idx="19">
                  <c:v>0.58476414408466015</c:v>
                </c:pt>
                <c:pt idx="20">
                  <c:v>0.61554120429964232</c:v>
                </c:pt>
                <c:pt idx="21">
                  <c:v>0.64631826451462437</c:v>
                </c:pt>
                <c:pt idx="22">
                  <c:v>0.67709532472960643</c:v>
                </c:pt>
                <c:pt idx="23">
                  <c:v>0.7078723849445886</c:v>
                </c:pt>
                <c:pt idx="24">
                  <c:v>0.73864944515957065</c:v>
                </c:pt>
                <c:pt idx="25">
                  <c:v>0.76942650537455282</c:v>
                </c:pt>
                <c:pt idx="26">
                  <c:v>0.80020356558953498</c:v>
                </c:pt>
                <c:pt idx="27">
                  <c:v>0.83098062580451715</c:v>
                </c:pt>
                <c:pt idx="28">
                  <c:v>0.8617576860194992</c:v>
                </c:pt>
                <c:pt idx="29">
                  <c:v>0.89253474623448126</c:v>
                </c:pt>
                <c:pt idx="30">
                  <c:v>0.92331180644946331</c:v>
                </c:pt>
                <c:pt idx="31">
                  <c:v>0.95408886666444548</c:v>
                </c:pt>
                <c:pt idx="32">
                  <c:v>0.98486592687942764</c:v>
                </c:pt>
                <c:pt idx="33">
                  <c:v>1.0156429870944097</c:v>
                </c:pt>
                <c:pt idx="34">
                  <c:v>1.0464200473093919</c:v>
                </c:pt>
                <c:pt idx="35">
                  <c:v>1.077197107524374</c:v>
                </c:pt>
                <c:pt idx="36">
                  <c:v>1.107974167739356</c:v>
                </c:pt>
                <c:pt idx="37">
                  <c:v>1.1387512279543381</c:v>
                </c:pt>
                <c:pt idx="38">
                  <c:v>1.1695282881693203</c:v>
                </c:pt>
                <c:pt idx="39">
                  <c:v>1.2003053483843025</c:v>
                </c:pt>
                <c:pt idx="40">
                  <c:v>1.2310824085992846</c:v>
                </c:pt>
                <c:pt idx="41">
                  <c:v>1.2618594688142668</c:v>
                </c:pt>
                <c:pt idx="42">
                  <c:v>1.2926365290292487</c:v>
                </c:pt>
                <c:pt idx="43">
                  <c:v>1.3234135892442309</c:v>
                </c:pt>
                <c:pt idx="44">
                  <c:v>1.3541906494592129</c:v>
                </c:pt>
                <c:pt idx="45">
                  <c:v>1.384967709674195</c:v>
                </c:pt>
                <c:pt idx="46">
                  <c:v>1.4157447698891772</c:v>
                </c:pt>
                <c:pt idx="47">
                  <c:v>1.4465218301041594</c:v>
                </c:pt>
                <c:pt idx="48">
                  <c:v>1.4772988903191413</c:v>
                </c:pt>
                <c:pt idx="49">
                  <c:v>1.5080759505341235</c:v>
                </c:pt>
                <c:pt idx="50">
                  <c:v>1.5388530107491056</c:v>
                </c:pt>
              </c:numCache>
            </c:numRef>
          </c:xVal>
          <c:yVal>
            <c:numRef>
              <c:f>calc!$I$3:$I$53</c:f>
              <c:numCache>
                <c:formatCode>0.0000</c:formatCode>
                <c:ptCount val="51"/>
                <c:pt idx="0">
                  <c:v>2.0963940171865407</c:v>
                </c:pt>
                <c:pt idx="1">
                  <c:v>2.0963940171256876</c:v>
                </c:pt>
                <c:pt idx="2">
                  <c:v>2.0963940170278037</c:v>
                </c:pt>
                <c:pt idx="3">
                  <c:v>2.0963940168703536</c:v>
                </c:pt>
                <c:pt idx="4">
                  <c:v>2.0963940166170913</c:v>
                </c:pt>
                <c:pt idx="5">
                  <c:v>2.0963940162097106</c:v>
                </c:pt>
                <c:pt idx="6">
                  <c:v>2.0963940155544258</c:v>
                </c:pt>
                <c:pt idx="7">
                  <c:v>2.0963940145003797</c:v>
                </c:pt>
                <c:pt idx="8">
                  <c:v>2.0963940128049141</c:v>
                </c:pt>
                <c:pt idx="9">
                  <c:v>2.096394010077705</c:v>
                </c:pt>
                <c:pt idx="10">
                  <c:v>2.0963940056909043</c:v>
                </c:pt>
                <c:pt idx="11">
                  <c:v>2.0963939986345994</c:v>
                </c:pt>
                <c:pt idx="12">
                  <c:v>2.0963939872843134</c:v>
                </c:pt>
                <c:pt idx="13">
                  <c:v>2.0963939690270252</c:v>
                </c:pt>
                <c:pt idx="14">
                  <c:v>2.0963939396596101</c:v>
                </c:pt>
                <c:pt idx="15">
                  <c:v>2.0963938924212093</c:v>
                </c:pt>
                <c:pt idx="16">
                  <c:v>2.0963938164367741</c:v>
                </c:pt>
                <c:pt idx="17">
                  <c:v>2.0963936942134476</c:v>
                </c:pt>
                <c:pt idx="18">
                  <c:v>2.0963934976134273</c:v>
                </c:pt>
                <c:pt idx="19">
                  <c:v>2.0963931813761834</c:v>
                </c:pt>
                <c:pt idx="20">
                  <c:v>2.0963926726987463</c:v>
                </c:pt>
                <c:pt idx="21">
                  <c:v>2.096391854475276</c:v>
                </c:pt>
                <c:pt idx="22">
                  <c:v>2.0963905383373893</c:v>
                </c:pt>
                <c:pt idx="23">
                  <c:v>2.0963884212886859</c:v>
                </c:pt>
                <c:pt idx="24">
                  <c:v>2.0963850159500366</c:v>
                </c:pt>
                <c:pt idx="25">
                  <c:v>2.0963795383569628</c:v>
                </c:pt>
                <c:pt idx="26">
                  <c:v>2.0963707274782295</c:v>
                </c:pt>
                <c:pt idx="27">
                  <c:v>2.0963565549058969</c:v>
                </c:pt>
                <c:pt idx="28">
                  <c:v>2.0963337578827379</c:v>
                </c:pt>
                <c:pt idx="29">
                  <c:v>2.0962970881623297</c:v>
                </c:pt>
                <c:pt idx="30">
                  <c:v>2.0962381037771571</c:v>
                </c:pt>
                <c:pt idx="31">
                  <c:v>2.0961432255600472</c:v>
                </c:pt>
                <c:pt idx="32">
                  <c:v>2.0959906109984887</c:v>
                </c:pt>
                <c:pt idx="33">
                  <c:v>2.0957451257321211</c:v>
                </c:pt>
                <c:pt idx="34">
                  <c:v>2.0953502550501364</c:v>
                </c:pt>
                <c:pt idx="35">
                  <c:v>2.0947150932834102</c:v>
                </c:pt>
                <c:pt idx="36">
                  <c:v>2.0936934158373077</c:v>
                </c:pt>
                <c:pt idx="37">
                  <c:v>2.0920500159058939</c:v>
                </c:pt>
                <c:pt idx="38">
                  <c:v>2.0894065560303012</c:v>
                </c:pt>
                <c:pt idx="39">
                  <c:v>2.0851544686471302</c:v>
                </c:pt>
                <c:pt idx="40">
                  <c:v>2.0783148539130227</c:v>
                </c:pt>
                <c:pt idx="41">
                  <c:v>2.0673131210003453</c:v>
                </c:pt>
                <c:pt idx="42">
                  <c:v>2.049616491615899</c:v>
                </c:pt>
                <c:pt idx="43">
                  <c:v>2.0211509131423875</c:v>
                </c:pt>
                <c:pt idx="44">
                  <c:v>1.9753631453009117</c:v>
                </c:pt>
                <c:pt idx="45">
                  <c:v>1.9017120973920918</c:v>
                </c:pt>
                <c:pt idx="46">
                  <c:v>1.7832420973508636</c:v>
                </c:pt>
                <c:pt idx="47">
                  <c:v>1.5926794195849787</c:v>
                </c:pt>
                <c:pt idx="48">
                  <c:v>1.2861534286618137</c:v>
                </c:pt>
                <c:pt idx="49">
                  <c:v>0.79309684374721523</c:v>
                </c:pt>
                <c:pt idx="50">
                  <c:v>9.7699626167013776E-15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01-CC45-801D-E0855B4C99FC}"/>
            </c:ext>
          </c:extLst>
        </c:ser>
        <c:ser>
          <c:idx val="3"/>
          <c:order val="2"/>
          <c:tx>
            <c:v>cell2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calc!$H$3:$H$53</c:f>
              <c:numCache>
                <c:formatCode>0.0000</c:formatCode>
                <c:ptCount val="51"/>
                <c:pt idx="0">
                  <c:v>0</c:v>
                </c:pt>
                <c:pt idx="1">
                  <c:v>2.1390545231504556E-2</c:v>
                </c:pt>
                <c:pt idx="2">
                  <c:v>4.2781090463009111E-2</c:v>
                </c:pt>
                <c:pt idx="3">
                  <c:v>6.4171635694513673E-2</c:v>
                </c:pt>
                <c:pt idx="4">
                  <c:v>8.5562180926018222E-2</c:v>
                </c:pt>
                <c:pt idx="5">
                  <c:v>0.10695272615752278</c:v>
                </c:pt>
                <c:pt idx="6">
                  <c:v>0.12834327138902735</c:v>
                </c:pt>
                <c:pt idx="7">
                  <c:v>0.1497338166205319</c:v>
                </c:pt>
                <c:pt idx="8">
                  <c:v>0.17112436185203644</c:v>
                </c:pt>
                <c:pt idx="9">
                  <c:v>0.19251490708354099</c:v>
                </c:pt>
                <c:pt idx="10">
                  <c:v>0.21390545231504557</c:v>
                </c:pt>
                <c:pt idx="11">
                  <c:v>0.23529599754655012</c:v>
                </c:pt>
                <c:pt idx="12">
                  <c:v>0.25668654277805469</c:v>
                </c:pt>
                <c:pt idx="13">
                  <c:v>0.27807708800955921</c:v>
                </c:pt>
                <c:pt idx="14">
                  <c:v>0.29946763324106379</c:v>
                </c:pt>
                <c:pt idx="15">
                  <c:v>0.32085817847256831</c:v>
                </c:pt>
                <c:pt idx="16">
                  <c:v>0.34224872370407289</c:v>
                </c:pt>
                <c:pt idx="17">
                  <c:v>0.36363926893557746</c:v>
                </c:pt>
                <c:pt idx="18">
                  <c:v>0.38502981416708199</c:v>
                </c:pt>
                <c:pt idx="19">
                  <c:v>0.40642035939858656</c:v>
                </c:pt>
                <c:pt idx="20">
                  <c:v>0.42781090463009114</c:v>
                </c:pt>
                <c:pt idx="21">
                  <c:v>0.44920144986159566</c:v>
                </c:pt>
                <c:pt idx="22">
                  <c:v>0.47059199509310023</c:v>
                </c:pt>
                <c:pt idx="23">
                  <c:v>0.49198254032460481</c:v>
                </c:pt>
                <c:pt idx="24">
                  <c:v>0.51337308555610939</c:v>
                </c:pt>
                <c:pt idx="25">
                  <c:v>0.53476363078761391</c:v>
                </c:pt>
                <c:pt idx="26">
                  <c:v>0.55615417601911843</c:v>
                </c:pt>
                <c:pt idx="27">
                  <c:v>0.57754472125062306</c:v>
                </c:pt>
                <c:pt idx="28">
                  <c:v>0.59893526648212758</c:v>
                </c:pt>
                <c:pt idx="29">
                  <c:v>0.6203258117136321</c:v>
                </c:pt>
                <c:pt idx="30">
                  <c:v>0.64171635694513662</c:v>
                </c:pt>
                <c:pt idx="31">
                  <c:v>0.66310690217664126</c:v>
                </c:pt>
                <c:pt idx="32">
                  <c:v>0.68449744740814578</c:v>
                </c:pt>
                <c:pt idx="33">
                  <c:v>0.70588799263965041</c:v>
                </c:pt>
                <c:pt idx="34">
                  <c:v>0.72727853787115493</c:v>
                </c:pt>
                <c:pt idx="35">
                  <c:v>0.74866908310265956</c:v>
                </c:pt>
                <c:pt idx="36">
                  <c:v>0.77005962833416397</c:v>
                </c:pt>
                <c:pt idx="37">
                  <c:v>0.7914501735656686</c:v>
                </c:pt>
                <c:pt idx="38">
                  <c:v>0.81284071879717312</c:v>
                </c:pt>
                <c:pt idx="39">
                  <c:v>0.83423126402867775</c:v>
                </c:pt>
                <c:pt idx="40">
                  <c:v>0.85562180926018228</c:v>
                </c:pt>
                <c:pt idx="41">
                  <c:v>0.87701235449168691</c:v>
                </c:pt>
                <c:pt idx="42">
                  <c:v>0.89840289972319132</c:v>
                </c:pt>
                <c:pt idx="43">
                  <c:v>0.91979344495469595</c:v>
                </c:pt>
                <c:pt idx="44">
                  <c:v>0.94118399018620047</c:v>
                </c:pt>
                <c:pt idx="45">
                  <c:v>0.9625745354177051</c:v>
                </c:pt>
                <c:pt idx="46">
                  <c:v>0.98396508064920962</c:v>
                </c:pt>
                <c:pt idx="47">
                  <c:v>1.0053556258807141</c:v>
                </c:pt>
                <c:pt idx="48">
                  <c:v>1.0267461711122188</c:v>
                </c:pt>
                <c:pt idx="49">
                  <c:v>1.0481367163437232</c:v>
                </c:pt>
                <c:pt idx="50">
                  <c:v>1.0695272615752278</c:v>
                </c:pt>
              </c:numCache>
            </c:numRef>
          </c:xVal>
          <c:yVal>
            <c:numRef>
              <c:f>calc!$J$3:$J$53</c:f>
              <c:numCache>
                <c:formatCode>0.0000</c:formatCode>
                <c:ptCount val="51"/>
                <c:pt idx="0">
                  <c:v>0.90360598281345939</c:v>
                </c:pt>
                <c:pt idx="1">
                  <c:v>0.90360598281272508</c:v>
                </c:pt>
                <c:pt idx="2">
                  <c:v>0.90360598281145166</c:v>
                </c:pt>
                <c:pt idx="3">
                  <c:v>0.90360598280924309</c:v>
                </c:pt>
                <c:pt idx="4">
                  <c:v>0.90360598280541293</c:v>
                </c:pt>
                <c:pt idx="5">
                  <c:v>0.90360598279877025</c:v>
                </c:pt>
                <c:pt idx="6">
                  <c:v>0.90360598278725013</c:v>
                </c:pt>
                <c:pt idx="7">
                  <c:v>0.90360598276727078</c:v>
                </c:pt>
                <c:pt idx="8">
                  <c:v>0.90360598273262105</c:v>
                </c:pt>
                <c:pt idx="9">
                  <c:v>0.90360598267252867</c:v>
                </c:pt>
                <c:pt idx="10">
                  <c:v>0.90360598256831171</c:v>
                </c:pt>
                <c:pt idx="11">
                  <c:v>0.90360598238756995</c:v>
                </c:pt>
                <c:pt idx="12">
                  <c:v>0.90360598207411291</c:v>
                </c:pt>
                <c:pt idx="13">
                  <c:v>0.90360598153049032</c:v>
                </c:pt>
                <c:pt idx="14">
                  <c:v>0.90360598058769559</c:v>
                </c:pt>
                <c:pt idx="15">
                  <c:v>0.90360597895262429</c:v>
                </c:pt>
                <c:pt idx="16">
                  <c:v>0.90360597611695026</c:v>
                </c:pt>
                <c:pt idx="17">
                  <c:v>0.90360597119909358</c:v>
                </c:pt>
                <c:pt idx="18">
                  <c:v>0.9036059626701457</c:v>
                </c:pt>
                <c:pt idx="19">
                  <c:v>0.90360594787854964</c:v>
                </c:pt>
                <c:pt idx="20">
                  <c:v>0.90360592222575875</c:v>
                </c:pt>
                <c:pt idx="21">
                  <c:v>0.90360587773659895</c:v>
                </c:pt>
                <c:pt idx="22">
                  <c:v>0.90360580057987405</c:v>
                </c:pt>
                <c:pt idx="23">
                  <c:v>0.90360566676839615</c:v>
                </c:pt>
                <c:pt idx="24">
                  <c:v>0.90360543470163068</c:v>
                </c:pt>
                <c:pt idx="25">
                  <c:v>0.90360503223254141</c:v>
                </c:pt>
                <c:pt idx="26">
                  <c:v>0.90360433423786057</c:v>
                </c:pt>
                <c:pt idx="27">
                  <c:v>0.90360312371862495</c:v>
                </c:pt>
                <c:pt idx="28">
                  <c:v>0.90360102433755474</c:v>
                </c:pt>
                <c:pt idx="29">
                  <c:v>0.90359738341988249</c:v>
                </c:pt>
                <c:pt idx="30">
                  <c:v>0.90359106904385766</c:v>
                </c:pt>
                <c:pt idx="31">
                  <c:v>0.90358011813857175</c:v>
                </c:pt>
                <c:pt idx="32">
                  <c:v>0.90356112618653905</c:v>
                </c:pt>
                <c:pt idx="33">
                  <c:v>0.9035281887961959</c:v>
                </c:pt>
                <c:pt idx="34">
                  <c:v>0.90347106609070704</c:v>
                </c:pt>
                <c:pt idx="35">
                  <c:v>0.90337199924150136</c:v>
                </c:pt>
                <c:pt idx="36">
                  <c:v>0.90320018944139524</c:v>
                </c:pt>
                <c:pt idx="37">
                  <c:v>0.90290222289002953</c:v>
                </c:pt>
                <c:pt idx="38">
                  <c:v>0.90238546502361017</c:v>
                </c:pt>
                <c:pt idx="39">
                  <c:v>0.90148926143538088</c:v>
                </c:pt>
                <c:pt idx="40">
                  <c:v>0.89993499216586703</c:v>
                </c:pt>
                <c:pt idx="41">
                  <c:v>0.89723945178432485</c:v>
                </c:pt>
                <c:pt idx="42">
                  <c:v>0.89256462606973208</c:v>
                </c:pt>
                <c:pt idx="43">
                  <c:v>0.88445716249342499</c:v>
                </c:pt>
                <c:pt idx="44">
                  <c:v>0.87039653870675415</c:v>
                </c:pt>
                <c:pt idx="45">
                  <c:v>0.8460114595251399</c:v>
                </c:pt>
                <c:pt idx="46">
                  <c:v>0.80372086874372139</c:v>
                </c:pt>
                <c:pt idx="47">
                  <c:v>0.73037708112174338</c:v>
                </c:pt>
                <c:pt idx="48">
                  <c:v>0.60317830987399268</c:v>
                </c:pt>
                <c:pt idx="49">
                  <c:v>0.38257983887154068</c:v>
                </c:pt>
                <c:pt idx="50">
                  <c:v>4.7739590058881731E-15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01-CC45-801D-E0855B4C99FC}"/>
            </c:ext>
          </c:extLst>
        </c:ser>
        <c:ser>
          <c:idx val="1"/>
          <c:order val="3"/>
          <c:tx>
            <c:v>Pmax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xVal>
            <c:numRef>
              <c:f>tandem!$C$20</c:f>
              <c:numCache>
                <c:formatCode>0.000000</c:formatCode>
                <c:ptCount val="1"/>
                <c:pt idx="0">
                  <c:v>2.4207646027719196</c:v>
                </c:pt>
              </c:numCache>
            </c:numRef>
          </c:xVal>
          <c:yVal>
            <c:numRef>
              <c:f>tandem!$C$21</c:f>
              <c:numCache>
                <c:formatCode>0.0000</c:formatCode>
                <c:ptCount val="1"/>
                <c:pt idx="0">
                  <c:v>0.88557606889366247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13-CC45-993C-B415932313D5}"/>
            </c:ext>
          </c:extLst>
        </c:ser>
        <c:ser>
          <c:idx val="4"/>
          <c:order val="4"/>
          <c:tx>
            <c:v>P1max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5"/>
              </a:solidFill>
              <a:ln w="9525">
                <a:noFill/>
              </a:ln>
              <a:effectLst/>
            </c:spPr>
          </c:marker>
          <c:xVal>
            <c:numRef>
              <c:f>tandem!$F$6</c:f>
              <c:numCache>
                <c:formatCode>0.0000</c:formatCode>
                <c:ptCount val="1"/>
                <c:pt idx="0">
                  <c:v>1.33962911877007</c:v>
                </c:pt>
              </c:numCache>
            </c:numRef>
          </c:xVal>
          <c:yVal>
            <c:numRef>
              <c:f>tandem!$F$7</c:f>
              <c:numCache>
                <c:formatCode>0.0000</c:formatCode>
                <c:ptCount val="1"/>
                <c:pt idx="0">
                  <c:v>1.9997381269733454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01-CC45-801D-E0855B4C99FC}"/>
            </c:ext>
          </c:extLst>
        </c:ser>
        <c:ser>
          <c:idx val="5"/>
          <c:order val="5"/>
          <c:tx>
            <c:v>P2max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6"/>
              </a:solidFill>
              <a:ln w="9525">
                <a:noFill/>
              </a:ln>
              <a:effectLst/>
            </c:spPr>
          </c:marker>
          <c:xVal>
            <c:numRef>
              <c:f>tandem!$F$13</c:f>
              <c:numCache>
                <c:formatCode>0.0000</c:formatCode>
                <c:ptCount val="1"/>
                <c:pt idx="0">
                  <c:v>0.94401316115429135</c:v>
                </c:pt>
              </c:numCache>
            </c:numRef>
          </c:xVal>
          <c:yVal>
            <c:numRef>
              <c:f>tandem!$F$14</c:f>
              <c:numCache>
                <c:formatCode>0.0000</c:formatCode>
                <c:ptCount val="1"/>
                <c:pt idx="0">
                  <c:v>0.86788789470915984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01-CC45-801D-E0855B4C9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8919087"/>
        <c:axId val="1308920815"/>
      </c:scatterChart>
      <c:valAx>
        <c:axId val="1308919087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 (V)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8920815"/>
        <c:crosses val="autoZero"/>
        <c:crossBetween val="midCat"/>
      </c:valAx>
      <c:valAx>
        <c:axId val="1308920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 (mA)</a:t>
                </a:r>
              </a:p>
              <a:p>
                <a:pPr>
                  <a:defRPr/>
                </a:pP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891908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1244600</xdr:colOff>
      <xdr:row>18</xdr:row>
      <xdr:rowOff>0</xdr:rowOff>
    </xdr:from>
    <xdr:to>
      <xdr:col>14</xdr:col>
      <xdr:colOff>577850</xdr:colOff>
      <xdr:row>32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495300</xdr:colOff>
          <xdr:row>19</xdr:row>
          <xdr:rowOff>177800</xdr:rowOff>
        </xdr:from>
        <xdr:to>
          <xdr:col>5</xdr:col>
          <xdr:colOff>368300</xdr:colOff>
          <xdr:row>21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374093-DF6B-F344-A215-BF7E4431A2FB}">
  <sheetPr codeName="Sheet1"/>
  <dimension ref="A1:AP111"/>
  <sheetViews>
    <sheetView tabSelected="1" zoomScaleNormal="100" workbookViewId="0">
      <selection activeCell="F35" sqref="F35"/>
    </sheetView>
  </sheetViews>
  <sheetFormatPr baseColWidth="10" defaultRowHeight="16" x14ac:dyDescent="0.2"/>
  <cols>
    <col min="3" max="3" width="16" customWidth="1"/>
    <col min="8" max="8" width="19.1640625" customWidth="1"/>
  </cols>
  <sheetData>
    <row r="1" spans="1:42" x14ac:dyDescent="0.2">
      <c r="I1" s="13" t="s">
        <v>52</v>
      </c>
      <c r="J1" s="14"/>
    </row>
    <row r="2" spans="1:42" x14ac:dyDescent="0.2">
      <c r="B2" t="s">
        <v>0</v>
      </c>
      <c r="C2" s="9">
        <v>3</v>
      </c>
      <c r="I2" s="15" t="s">
        <v>0</v>
      </c>
      <c r="J2" s="16">
        <v>3</v>
      </c>
    </row>
    <row r="3" spans="1:42" x14ac:dyDescent="0.2">
      <c r="B3" t="s">
        <v>1</v>
      </c>
      <c r="C3" s="11">
        <v>2.5899999999999999E-2</v>
      </c>
      <c r="I3" s="15" t="s">
        <v>1</v>
      </c>
      <c r="J3" s="16">
        <v>2.5899999999999999E-2</v>
      </c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42" x14ac:dyDescent="0.2">
      <c r="B4" t="s">
        <v>12</v>
      </c>
      <c r="C4" s="4">
        <f>tandem!C59</f>
        <v>0.30120199427115313</v>
      </c>
      <c r="I4" s="15" t="s">
        <v>9</v>
      </c>
      <c r="J4" s="16">
        <v>2.5</v>
      </c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</row>
    <row r="5" spans="1:42" x14ac:dyDescent="0.2">
      <c r="I5" s="15" t="s">
        <v>6</v>
      </c>
      <c r="J5" s="17">
        <v>1E-10</v>
      </c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</row>
    <row r="6" spans="1:42" x14ac:dyDescent="0.2">
      <c r="A6" t="s">
        <v>30</v>
      </c>
      <c r="B6" t="s">
        <v>9</v>
      </c>
      <c r="C6" s="10">
        <v>2.5</v>
      </c>
      <c r="E6" t="s">
        <v>31</v>
      </c>
      <c r="F6" s="2">
        <f>C6*C3*LN((C8-F7)/C7+1)</f>
        <v>1.33962911877007</v>
      </c>
      <c r="I6" s="15" t="s">
        <v>10</v>
      </c>
      <c r="J6" s="16">
        <v>1.5</v>
      </c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</row>
    <row r="7" spans="1:42" ht="17" thickBot="1" x14ac:dyDescent="0.25">
      <c r="B7" t="s">
        <v>6</v>
      </c>
      <c r="C7" s="12">
        <v>1E-10</v>
      </c>
      <c r="E7" t="s">
        <v>32</v>
      </c>
      <c r="F7" s="2">
        <v>1.9997381269733454</v>
      </c>
      <c r="I7" s="18" t="s">
        <v>7</v>
      </c>
      <c r="J7" s="19">
        <v>9.9999999999999998E-13</v>
      </c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</row>
    <row r="8" spans="1:42" x14ac:dyDescent="0.2">
      <c r="B8" t="s">
        <v>2</v>
      </c>
      <c r="C8">
        <f>(1-C4)*C2</f>
        <v>2.0963940171865407</v>
      </c>
      <c r="E8" t="s">
        <v>33</v>
      </c>
      <c r="F8" s="2">
        <f>F6*F7</f>
        <v>2.6789074248082132</v>
      </c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</row>
    <row r="9" spans="1:42" x14ac:dyDescent="0.2">
      <c r="B9" t="s">
        <v>4</v>
      </c>
      <c r="C9" s="7">
        <f>C6*C3*LN((C8-C21)/C7+1)</f>
        <v>1.5033102715896653</v>
      </c>
      <c r="E9" t="s">
        <v>40</v>
      </c>
      <c r="F9" s="2">
        <f>C6*C3*LN((C8-0)/C7+1)</f>
        <v>1.5388530107491056</v>
      </c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</row>
    <row r="10" spans="1:42" x14ac:dyDescent="0.2">
      <c r="B10" t="s">
        <v>50</v>
      </c>
      <c r="C10" s="2">
        <f>C9*C21</f>
        <v>1.3312956006418399</v>
      </c>
      <c r="E10" t="s">
        <v>41</v>
      </c>
      <c r="F10" s="2">
        <f>C8</f>
        <v>2.0963940171865407</v>
      </c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</row>
    <row r="11" spans="1:42" x14ac:dyDescent="0.2">
      <c r="C11" s="1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</row>
    <row r="12" spans="1:42" x14ac:dyDescent="0.2">
      <c r="C12" s="1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</row>
    <row r="13" spans="1:42" x14ac:dyDescent="0.2">
      <c r="A13" t="s">
        <v>36</v>
      </c>
      <c r="B13" t="s">
        <v>10</v>
      </c>
      <c r="C13" s="10">
        <v>1.5</v>
      </c>
      <c r="E13" t="s">
        <v>35</v>
      </c>
      <c r="F13" s="2">
        <f>C13*C3*LN((C15-F14)/C14+1)</f>
        <v>0.94401316115429135</v>
      </c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</row>
    <row r="14" spans="1:42" x14ac:dyDescent="0.2">
      <c r="B14" t="s">
        <v>7</v>
      </c>
      <c r="C14" s="12">
        <v>9.9999999999999998E-13</v>
      </c>
      <c r="E14" t="s">
        <v>37</v>
      </c>
      <c r="F14" s="2">
        <v>0.86788789470915984</v>
      </c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</row>
    <row r="15" spans="1:42" x14ac:dyDescent="0.2">
      <c r="B15" t="s">
        <v>3</v>
      </c>
      <c r="C15">
        <f>C4*C2</f>
        <v>0.90360598281345939</v>
      </c>
      <c r="E15" t="s">
        <v>38</v>
      </c>
      <c r="F15" s="2">
        <f>F13*F14</f>
        <v>0.81929759501193677</v>
      </c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</row>
    <row r="16" spans="1:42" x14ac:dyDescent="0.2">
      <c r="B16" t="s">
        <v>5</v>
      </c>
      <c r="C16" s="7">
        <f>C13*C3*LN((C15-C21)/C14+1)</f>
        <v>0.91745433118225417</v>
      </c>
      <c r="E16" t="s">
        <v>42</v>
      </c>
      <c r="F16" s="2">
        <f>C13*C3*LN((C15-0)/C14+1)</f>
        <v>1.0695272615752278</v>
      </c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</row>
    <row r="17" spans="2:42" x14ac:dyDescent="0.2">
      <c r="B17" t="s">
        <v>51</v>
      </c>
      <c r="C17">
        <f>C16*C21</f>
        <v>0.81247559999784491</v>
      </c>
      <c r="E17" t="s">
        <v>43</v>
      </c>
      <c r="F17" s="2">
        <f>C15</f>
        <v>0.90360598281345939</v>
      </c>
    </row>
    <row r="18" spans="2:42" x14ac:dyDescent="0.2"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</row>
    <row r="19" spans="2:42" x14ac:dyDescent="0.2">
      <c r="B19" t="s">
        <v>26</v>
      </c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</row>
    <row r="20" spans="2:42" x14ac:dyDescent="0.2">
      <c r="B20" t="s">
        <v>28</v>
      </c>
      <c r="C20" s="7">
        <f>C9+C16</f>
        <v>2.4207646027719196</v>
      </c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</row>
    <row r="21" spans="2:42" x14ac:dyDescent="0.2">
      <c r="B21" t="s">
        <v>29</v>
      </c>
      <c r="C21" s="2">
        <v>0.88557606889366247</v>
      </c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</row>
    <row r="22" spans="2:42" x14ac:dyDescent="0.2">
      <c r="B22" t="s">
        <v>34</v>
      </c>
      <c r="C22" s="8">
        <f>C21*C20</f>
        <v>2.143771200639685</v>
      </c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</row>
    <row r="23" spans="2:42" x14ac:dyDescent="0.2"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</row>
    <row r="24" spans="2:42" ht="19" x14ac:dyDescent="0.25">
      <c r="B24" t="s">
        <v>22</v>
      </c>
      <c r="C24" s="2">
        <f>C6*C3*LN((C8-0)/C7+1)+C13*C3*LN((C15-0)/C14+1)</f>
        <v>2.6083802723243332</v>
      </c>
      <c r="E24" s="6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</row>
    <row r="25" spans="2:42" x14ac:dyDescent="0.2">
      <c r="B25" t="s">
        <v>18</v>
      </c>
      <c r="C25" s="2">
        <f>E27</f>
        <v>0.90360700495514812</v>
      </c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</row>
    <row r="26" spans="2:42" x14ac:dyDescent="0.2">
      <c r="B26" s="1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</row>
    <row r="27" spans="2:42" x14ac:dyDescent="0.2">
      <c r="D27" t="s">
        <v>23</v>
      </c>
      <c r="E27" s="2">
        <f>Ip_1_mA-I0_1_mA*(EXP(u/n_1)-1)</f>
        <v>0.90360700495514812</v>
      </c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</row>
    <row r="28" spans="2:42" x14ac:dyDescent="0.2">
      <c r="D28" t="s">
        <v>24</v>
      </c>
      <c r="E28" s="2">
        <f>Ip_2_mA-I0_2_mA*(EXP(-u/n_2)-1)</f>
        <v>0.90360598281445936</v>
      </c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</row>
    <row r="29" spans="2:42" x14ac:dyDescent="0.2">
      <c r="C29" t="s">
        <v>27</v>
      </c>
      <c r="D29" t="s">
        <v>19</v>
      </c>
      <c r="E29" s="2">
        <v>58.005358814905179</v>
      </c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</row>
    <row r="30" spans="2:42" x14ac:dyDescent="0.2">
      <c r="D30" t="s">
        <v>25</v>
      </c>
      <c r="E30" s="5">
        <f>tandem!E27-tandem!E28</f>
        <v>1.0221406887556128E-6</v>
      </c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</row>
    <row r="31" spans="2:42" x14ac:dyDescent="0.2"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</row>
    <row r="32" spans="2:42" x14ac:dyDescent="0.2"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</row>
    <row r="33" spans="2:39" x14ac:dyDescent="0.2"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</row>
    <row r="34" spans="2:39" x14ac:dyDescent="0.2"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</row>
    <row r="35" spans="2:39" x14ac:dyDescent="0.2">
      <c r="C35" s="7"/>
      <c r="H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</row>
    <row r="36" spans="2:39" x14ac:dyDescent="0.2">
      <c r="C36" s="4"/>
      <c r="H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</row>
    <row r="37" spans="2:39" x14ac:dyDescent="0.2">
      <c r="H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</row>
    <row r="38" spans="2:39" x14ac:dyDescent="0.2">
      <c r="C38" s="7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</row>
    <row r="39" spans="2:39" x14ac:dyDescent="0.2">
      <c r="C39" s="4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</row>
    <row r="40" spans="2:39" x14ac:dyDescent="0.2"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</row>
    <row r="41" spans="2:39" x14ac:dyDescent="0.2">
      <c r="C41" s="3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</row>
    <row r="42" spans="2:39" x14ac:dyDescent="0.2"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</row>
    <row r="43" spans="2:39" x14ac:dyDescent="0.2">
      <c r="B43" t="s">
        <v>11</v>
      </c>
      <c r="C43">
        <f>tandem!C6+tandem!C13</f>
        <v>4</v>
      </c>
      <c r="H43" s="1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</row>
    <row r="44" spans="2:39" x14ac:dyDescent="0.2">
      <c r="B44" t="s">
        <v>20</v>
      </c>
      <c r="C44">
        <f>tandem!C6/C43</f>
        <v>0.625</v>
      </c>
      <c r="H44" s="1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</row>
    <row r="45" spans="2:39" x14ac:dyDescent="0.2">
      <c r="B45" t="s">
        <v>21</v>
      </c>
      <c r="C45">
        <f>tandem!C13/C43</f>
        <v>0.375</v>
      </c>
      <c r="H45" s="1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</row>
    <row r="46" spans="2:39" x14ac:dyDescent="0.2">
      <c r="H46" s="1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</row>
    <row r="47" spans="2:39" x14ac:dyDescent="0.2">
      <c r="B47">
        <f>1-B54</f>
        <v>0.625</v>
      </c>
      <c r="C47">
        <f>B47*tandem!C2</f>
        <v>1.875</v>
      </c>
      <c r="H47" s="1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</row>
    <row r="48" spans="2:39" x14ac:dyDescent="0.2">
      <c r="B48">
        <f t="shared" ref="B48:C50" si="0">-B55</f>
        <v>0.25</v>
      </c>
      <c r="C48" s="3">
        <f t="shared" si="0"/>
        <v>0.22139401722341562</v>
      </c>
      <c r="H48" s="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</row>
    <row r="49" spans="2:39" x14ac:dyDescent="0.2">
      <c r="B49">
        <f t="shared" si="0"/>
        <v>-0.375</v>
      </c>
      <c r="C49" s="1">
        <f t="shared" si="0"/>
        <v>-3.75E-11</v>
      </c>
      <c r="H49" s="1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</row>
    <row r="50" spans="2:39" x14ac:dyDescent="0.2">
      <c r="B50">
        <f t="shared" si="0"/>
        <v>0.625</v>
      </c>
      <c r="C50" s="1">
        <f t="shared" si="0"/>
        <v>6.2499999999999996E-13</v>
      </c>
      <c r="H50" s="1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</row>
    <row r="51" spans="2:39" x14ac:dyDescent="0.2">
      <c r="B51" t="s">
        <v>14</v>
      </c>
      <c r="C51">
        <f>SUM(C47:C50)</f>
        <v>2.0963940171865407</v>
      </c>
      <c r="H51" s="1"/>
    </row>
    <row r="52" spans="2:39" x14ac:dyDescent="0.2">
      <c r="B52" s="1" t="s">
        <v>13</v>
      </c>
      <c r="C52" s="4">
        <f>1-C59</f>
        <v>0.69879800572884687</v>
      </c>
      <c r="H52" s="1"/>
    </row>
    <row r="53" spans="2:39" x14ac:dyDescent="0.2">
      <c r="H53" s="1"/>
    </row>
    <row r="54" spans="2:39" x14ac:dyDescent="0.2">
      <c r="B54">
        <f>C45</f>
        <v>0.375</v>
      </c>
      <c r="C54">
        <f>B54*Ip_mA</f>
        <v>1.125</v>
      </c>
      <c r="H54" s="1"/>
    </row>
    <row r="55" spans="2:39" x14ac:dyDescent="0.2">
      <c r="B55">
        <f>C45-C44</f>
        <v>-0.25</v>
      </c>
      <c r="C55" s="3">
        <f>B55*Im_mA</f>
        <v>-0.22139401722341562</v>
      </c>
      <c r="H55" s="1"/>
    </row>
    <row r="56" spans="2:39" x14ac:dyDescent="0.2">
      <c r="B56">
        <f>C45</f>
        <v>0.375</v>
      </c>
      <c r="C56" s="1">
        <f>B56*I0_1_mA</f>
        <v>3.75E-11</v>
      </c>
      <c r="H56" s="1"/>
    </row>
    <row r="57" spans="2:39" x14ac:dyDescent="0.2">
      <c r="B57">
        <f>-C44</f>
        <v>-0.625</v>
      </c>
      <c r="C57" s="1">
        <f>B57*I0_2_mA</f>
        <v>-6.2499999999999996E-13</v>
      </c>
      <c r="H57" s="1"/>
    </row>
    <row r="58" spans="2:39" x14ac:dyDescent="0.2">
      <c r="B58" t="s">
        <v>15</v>
      </c>
      <c r="C58">
        <f>SUM(C54:C57)</f>
        <v>0.90360598281345939</v>
      </c>
      <c r="H58" s="1"/>
    </row>
    <row r="59" spans="2:39" x14ac:dyDescent="0.2">
      <c r="B59" s="1" t="s">
        <v>12</v>
      </c>
      <c r="C59" s="4">
        <f>C58/Ip_mA</f>
        <v>0.30120199427115313</v>
      </c>
      <c r="H59" s="1"/>
    </row>
    <row r="60" spans="2:39" x14ac:dyDescent="0.2">
      <c r="H60" s="1"/>
    </row>
    <row r="61" spans="2:39" x14ac:dyDescent="0.2">
      <c r="H61" s="1"/>
    </row>
    <row r="62" spans="2:39" x14ac:dyDescent="0.2">
      <c r="H62" s="1"/>
    </row>
    <row r="63" spans="2:39" x14ac:dyDescent="0.2">
      <c r="H63" s="1"/>
    </row>
    <row r="64" spans="2:39" x14ac:dyDescent="0.2">
      <c r="H64" s="1"/>
    </row>
    <row r="65" spans="8:8" x14ac:dyDescent="0.2">
      <c r="H65" s="1"/>
    </row>
    <row r="66" spans="8:8" x14ac:dyDescent="0.2">
      <c r="H66" s="1"/>
    </row>
    <row r="67" spans="8:8" x14ac:dyDescent="0.2">
      <c r="H67" s="1"/>
    </row>
    <row r="68" spans="8:8" x14ac:dyDescent="0.2">
      <c r="H68" s="1"/>
    </row>
    <row r="69" spans="8:8" x14ac:dyDescent="0.2">
      <c r="H69" s="1"/>
    </row>
    <row r="70" spans="8:8" x14ac:dyDescent="0.2">
      <c r="H70" s="1"/>
    </row>
    <row r="71" spans="8:8" x14ac:dyDescent="0.2">
      <c r="H71" s="1"/>
    </row>
    <row r="72" spans="8:8" x14ac:dyDescent="0.2">
      <c r="H72" s="1"/>
    </row>
    <row r="73" spans="8:8" x14ac:dyDescent="0.2">
      <c r="H73" s="1"/>
    </row>
    <row r="74" spans="8:8" x14ac:dyDescent="0.2">
      <c r="H74" s="1"/>
    </row>
    <row r="75" spans="8:8" x14ac:dyDescent="0.2">
      <c r="H75" s="1"/>
    </row>
    <row r="76" spans="8:8" x14ac:dyDescent="0.2">
      <c r="H76" s="1"/>
    </row>
    <row r="77" spans="8:8" x14ac:dyDescent="0.2">
      <c r="H77" s="1"/>
    </row>
    <row r="78" spans="8:8" x14ac:dyDescent="0.2">
      <c r="H78" s="1"/>
    </row>
    <row r="79" spans="8:8" x14ac:dyDescent="0.2">
      <c r="H79" s="1"/>
    </row>
    <row r="80" spans="8:8" x14ac:dyDescent="0.2">
      <c r="H80" s="1"/>
    </row>
    <row r="81" spans="8:8" x14ac:dyDescent="0.2">
      <c r="H81" s="1"/>
    </row>
    <row r="82" spans="8:8" x14ac:dyDescent="0.2">
      <c r="H82" s="1"/>
    </row>
    <row r="83" spans="8:8" x14ac:dyDescent="0.2">
      <c r="H83" s="1"/>
    </row>
    <row r="84" spans="8:8" x14ac:dyDescent="0.2">
      <c r="H84" s="1"/>
    </row>
    <row r="85" spans="8:8" x14ac:dyDescent="0.2">
      <c r="H85" s="1"/>
    </row>
    <row r="86" spans="8:8" x14ac:dyDescent="0.2">
      <c r="H86" s="1"/>
    </row>
    <row r="87" spans="8:8" x14ac:dyDescent="0.2">
      <c r="H87" s="1"/>
    </row>
    <row r="88" spans="8:8" x14ac:dyDescent="0.2">
      <c r="H88" s="1"/>
    </row>
    <row r="89" spans="8:8" x14ac:dyDescent="0.2">
      <c r="H89" s="1"/>
    </row>
    <row r="90" spans="8:8" x14ac:dyDescent="0.2">
      <c r="H90" s="1"/>
    </row>
    <row r="91" spans="8:8" x14ac:dyDescent="0.2">
      <c r="H91" s="1"/>
    </row>
    <row r="92" spans="8:8" x14ac:dyDescent="0.2">
      <c r="H92" s="1"/>
    </row>
    <row r="93" spans="8:8" x14ac:dyDescent="0.2">
      <c r="H93" s="1"/>
    </row>
    <row r="94" spans="8:8" x14ac:dyDescent="0.2">
      <c r="H94" s="1"/>
    </row>
    <row r="95" spans="8:8" x14ac:dyDescent="0.2">
      <c r="H95" s="1"/>
    </row>
    <row r="96" spans="8:8" x14ac:dyDescent="0.2">
      <c r="H96" s="1"/>
    </row>
    <row r="97" spans="8:8" x14ac:dyDescent="0.2">
      <c r="H97" s="1"/>
    </row>
    <row r="98" spans="8:8" x14ac:dyDescent="0.2">
      <c r="H98" s="1"/>
    </row>
    <row r="99" spans="8:8" x14ac:dyDescent="0.2">
      <c r="H99" s="1"/>
    </row>
    <row r="100" spans="8:8" x14ac:dyDescent="0.2">
      <c r="H100" s="1"/>
    </row>
    <row r="101" spans="8:8" x14ac:dyDescent="0.2">
      <c r="H101" s="1"/>
    </row>
    <row r="102" spans="8:8" x14ac:dyDescent="0.2">
      <c r="H102" s="1"/>
    </row>
    <row r="103" spans="8:8" x14ac:dyDescent="0.2">
      <c r="H103" s="1"/>
    </row>
    <row r="104" spans="8:8" x14ac:dyDescent="0.2">
      <c r="H104" s="1"/>
    </row>
    <row r="105" spans="8:8" x14ac:dyDescent="0.2">
      <c r="H105" s="1"/>
    </row>
    <row r="106" spans="8:8" x14ac:dyDescent="0.2">
      <c r="H106" s="1"/>
    </row>
    <row r="107" spans="8:8" x14ac:dyDescent="0.2">
      <c r="H107" s="1"/>
    </row>
    <row r="108" spans="8:8" x14ac:dyDescent="0.2">
      <c r="H108" s="1"/>
    </row>
    <row r="109" spans="8:8" x14ac:dyDescent="0.2">
      <c r="H109" s="1"/>
    </row>
    <row r="110" spans="8:8" x14ac:dyDescent="0.2">
      <c r="H110" s="1"/>
    </row>
    <row r="111" spans="8:8" x14ac:dyDescent="0.2">
      <c r="H111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ThisWorkbook.SolveAll">
                <anchor moveWithCells="1" sizeWithCells="1">
                  <from>
                    <xdr:col>3</xdr:col>
                    <xdr:colOff>495300</xdr:colOff>
                    <xdr:row>19</xdr:row>
                    <xdr:rowOff>177800</xdr:rowOff>
                  </from>
                  <to>
                    <xdr:col>5</xdr:col>
                    <xdr:colOff>368300</xdr:colOff>
                    <xdr:row>21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9F263-E8BD-2B4E-A975-4625FC0D5055}">
  <sheetPr codeName="Sheet2"/>
  <dimension ref="A2:M111"/>
  <sheetViews>
    <sheetView workbookViewId="0">
      <selection activeCell="F4" sqref="F4"/>
    </sheetView>
  </sheetViews>
  <sheetFormatPr baseColWidth="10" defaultRowHeight="16" x14ac:dyDescent="0.2"/>
  <cols>
    <col min="1" max="1" width="12.1640625" bestFit="1" customWidth="1"/>
    <col min="6" max="6" width="10.1640625" customWidth="1"/>
  </cols>
  <sheetData>
    <row r="2" spans="1:10" x14ac:dyDescent="0.2">
      <c r="C2" t="s">
        <v>8</v>
      </c>
      <c r="D2" t="s">
        <v>4</v>
      </c>
      <c r="E2" t="s">
        <v>17</v>
      </c>
      <c r="F2" t="s">
        <v>16</v>
      </c>
      <c r="G2" t="s">
        <v>45</v>
      </c>
      <c r="H2" t="s">
        <v>46</v>
      </c>
      <c r="I2" s="2" t="s">
        <v>39</v>
      </c>
      <c r="J2" t="s">
        <v>44</v>
      </c>
    </row>
    <row r="3" spans="1:10" x14ac:dyDescent="0.2">
      <c r="A3">
        <v>0</v>
      </c>
      <c r="B3">
        <f t="shared" ref="B3:B34" si="0">1-(EXP(A3)-1)/(EXP(1)-1)</f>
        <v>1</v>
      </c>
      <c r="C3" s="2">
        <f>B3*M$27</f>
        <v>0.90360700495514812</v>
      </c>
      <c r="D3" s="2">
        <f>tandem!C$6*tandem!C$3*LN((M$28-C3)/tandem!C$7+1)</f>
        <v>1.5023387933060441</v>
      </c>
      <c r="E3" s="2" t="e">
        <f>tandem!C$13*tandem!C$3*LN((M$29-C3)/tandem!C$14+1)</f>
        <v>#NUM!</v>
      </c>
      <c r="F3" s="2">
        <v>0</v>
      </c>
      <c r="G3" s="2">
        <f>A3*calc!M$30</f>
        <v>0</v>
      </c>
      <c r="H3" s="2">
        <f>A3*calc!M$31</f>
        <v>0</v>
      </c>
      <c r="I3" s="2">
        <f>tandem!C$8-tandem!C$7*(EXP(G3/tandem!C$6/tandem!C$3)-1)</f>
        <v>2.0963940171865407</v>
      </c>
      <c r="J3" s="2">
        <f>tandem!C$15-tandem!C$14*(EXP(H3/tandem!C$13/tandem!C$3)-1)</f>
        <v>0.90360598281345939</v>
      </c>
    </row>
    <row r="4" spans="1:10" x14ac:dyDescent="0.2">
      <c r="A4">
        <v>0.02</v>
      </c>
      <c r="B4">
        <f t="shared" si="0"/>
        <v>0.98824329065688121</v>
      </c>
      <c r="C4" s="2">
        <f t="shared" ref="C4:C53" si="1">B4*M$27</f>
        <v>0.89298356003748436</v>
      </c>
      <c r="D4" s="2">
        <f>tandem!C$6*tandem!C$3*LN((M$28-C4)/tandem!C$7+1)</f>
        <v>1.5029129300990391</v>
      </c>
      <c r="E4" s="2">
        <f>tandem!C$13*tandem!C$3*LN((M$29-C4)/tandem!C$14+1)</f>
        <v>0.89690015050248295</v>
      </c>
      <c r="F4" s="2">
        <f t="shared" ref="F4:F35" si="2">D4+E4</f>
        <v>2.3998130806015219</v>
      </c>
      <c r="G4" s="2">
        <f>A4*calc!M$30</f>
        <v>3.0777060214982114E-2</v>
      </c>
      <c r="H4" s="2">
        <f>A4*calc!M$31</f>
        <v>2.1390545231504556E-2</v>
      </c>
      <c r="I4" s="2">
        <f>tandem!C$8-tandem!C$7*(EXP(G4/tandem!C$6/tandem!C$3)-1)</f>
        <v>2.0963940171256876</v>
      </c>
      <c r="J4" s="2">
        <f>tandem!C$15-tandem!C$14*(EXP(H4/tandem!C$13/tandem!C$3)-1)</f>
        <v>0.90360598281272508</v>
      </c>
    </row>
    <row r="5" spans="1:10" x14ac:dyDescent="0.2">
      <c r="A5">
        <v>0.04</v>
      </c>
      <c r="B5">
        <f t="shared" si="0"/>
        <v>0.97624908003072619</v>
      </c>
      <c r="C5" s="2">
        <f t="shared" si="1"/>
        <v>0.8821455072967832</v>
      </c>
      <c r="D5" s="2">
        <f>tandem!C$6*tandem!C$3*LN((M$28-C5)/tandem!C$7+1)</f>
        <v>1.5034934657539347</v>
      </c>
      <c r="E5" s="2">
        <f>tandem!C$13*tandem!C$3*LN((M$29-C5)/tandem!C$14+1)</f>
        <v>0.92422124874711531</v>
      </c>
      <c r="F5" s="2">
        <f t="shared" si="2"/>
        <v>2.4277147145010503</v>
      </c>
      <c r="G5" s="2">
        <f>A5*calc!M$30</f>
        <v>6.1554120429964228E-2</v>
      </c>
      <c r="H5" s="2">
        <f>A5*calc!M$31</f>
        <v>4.2781090463009111E-2</v>
      </c>
      <c r="I5" s="2">
        <f>tandem!C$8-tandem!C$7*(EXP(G5/tandem!C$6/tandem!C$3)-1)</f>
        <v>2.0963940170278037</v>
      </c>
      <c r="J5" s="2">
        <f>tandem!C$15-tandem!C$14*(EXP(H5/tandem!C$13/tandem!C$3)-1)</f>
        <v>0.90360598281145166</v>
      </c>
    </row>
    <row r="6" spans="1:10" x14ac:dyDescent="0.2">
      <c r="A6">
        <v>0.06</v>
      </c>
      <c r="B6">
        <f t="shared" si="0"/>
        <v>0.96401257027735976</v>
      </c>
      <c r="C6" s="2">
        <f t="shared" si="1"/>
        <v>0.87108851136743926</v>
      </c>
      <c r="D6" s="2">
        <f>tandem!C$6*tandem!C$3*LN((M$28-C6)/tandem!C$7+1)</f>
        <v>1.5040804135191577</v>
      </c>
      <c r="E6" s="2">
        <f>tandem!C$13*tandem!C$3*LN((M$29-C6)/tandem!C$14+1)</f>
        <v>0.9403659347233102</v>
      </c>
      <c r="F6" s="2">
        <f t="shared" si="2"/>
        <v>2.4444463482424679</v>
      </c>
      <c r="G6" s="2">
        <f>A6*calc!M$30</f>
        <v>9.2331180644946331E-2</v>
      </c>
      <c r="H6" s="2">
        <f>A6*calc!M$31</f>
        <v>6.4171635694513673E-2</v>
      </c>
      <c r="I6" s="2">
        <f>tandem!C$8-tandem!C$7*(EXP(G6/tandem!C$6/tandem!C$3)-1)</f>
        <v>2.0963940168703536</v>
      </c>
      <c r="J6" s="2">
        <f>tandem!C$15-tandem!C$14*(EXP(H6/tandem!C$13/tandem!C$3)-1)</f>
        <v>0.90360598280924309</v>
      </c>
    </row>
    <row r="7" spans="1:10" x14ac:dyDescent="0.2">
      <c r="A7">
        <v>0.08</v>
      </c>
      <c r="B7">
        <f t="shared" si="0"/>
        <v>0.9515288666297248</v>
      </c>
      <c r="C7" s="2">
        <f t="shared" si="1"/>
        <v>0.85980814930365224</v>
      </c>
      <c r="D7" s="2">
        <f>tandem!C$6*tandem!C$3*LN((M$28-C7)/tandem!C$7+1)</f>
        <v>1.5046737853981569</v>
      </c>
      <c r="E7" s="2">
        <f>tandem!C$13*tandem!C$3*LN((M$29-C7)/tandem!C$14+1)</f>
        <v>0.95193572987691122</v>
      </c>
      <c r="F7" s="2">
        <f t="shared" si="2"/>
        <v>2.4566095152750682</v>
      </c>
      <c r="G7" s="2">
        <f>A7*calc!M$30</f>
        <v>0.12310824085992846</v>
      </c>
      <c r="H7" s="2">
        <f>A7*calc!M$31</f>
        <v>8.5562180926018222E-2</v>
      </c>
      <c r="I7" s="2">
        <f>tandem!C$8-tandem!C$7*(EXP(G7/tandem!C$6/tandem!C$3)-1)</f>
        <v>2.0963940166170913</v>
      </c>
      <c r="J7" s="2">
        <f>tandem!C$15-tandem!C$14*(EXP(H7/tandem!C$13/tandem!C$3)-1)</f>
        <v>0.90360598280541293</v>
      </c>
    </row>
    <row r="8" spans="1:10" x14ac:dyDescent="0.2">
      <c r="A8">
        <v>0.1</v>
      </c>
      <c r="B8">
        <f t="shared" si="0"/>
        <v>0.9387929754399108</v>
      </c>
      <c r="C8" s="2">
        <f t="shared" si="1"/>
        <v>0.84829990881018968</v>
      </c>
      <c r="D8" s="2">
        <f>tandem!C$6*tandem!C$3*LN((M$28-C8)/tandem!C$7+1)</f>
        <v>1.505273592139929</v>
      </c>
      <c r="E8" s="2">
        <f>tandem!C$13*tandem!C$3*LN((M$29-C8)/tandem!C$14+1)</f>
        <v>0.96099937220757603</v>
      </c>
      <c r="F8" s="2">
        <f t="shared" si="2"/>
        <v>2.466272964347505</v>
      </c>
      <c r="G8" s="2">
        <f>A8*calc!M$30</f>
        <v>0.15388530107491058</v>
      </c>
      <c r="H8" s="2">
        <f>A8*calc!M$31</f>
        <v>0.10695272615752278</v>
      </c>
      <c r="I8" s="2">
        <f>tandem!C$8-tandem!C$7*(EXP(G8/tandem!C$6/tandem!C$3)-1)</f>
        <v>2.0963940162097106</v>
      </c>
      <c r="J8" s="2">
        <f>tandem!C$15-tandem!C$14*(EXP(H8/tandem!C$13/tandem!C$3)-1)</f>
        <v>0.90360598279877025</v>
      </c>
    </row>
    <row r="9" spans="1:10" x14ac:dyDescent="0.2">
      <c r="A9">
        <v>0.12</v>
      </c>
      <c r="B9">
        <f t="shared" si="0"/>
        <v>0.92579980218162761</v>
      </c>
      <c r="C9" s="2">
        <f t="shared" si="1"/>
        <v>0.83655918643740912</v>
      </c>
      <c r="D9" s="2">
        <f>tandem!C$6*tandem!C$3*LN((M$28-C9)/tandem!C$7+1)</f>
        <v>1.5058798432305112</v>
      </c>
      <c r="E9" s="2">
        <f>tandem!C$13*tandem!C$3*LN((M$29-C9)/tandem!C$14+1)</f>
        <v>0.96847831147103602</v>
      </c>
      <c r="F9" s="2">
        <f t="shared" si="2"/>
        <v>2.4743581547015472</v>
      </c>
      <c r="G9" s="2">
        <f>A9*calc!M$30</f>
        <v>0.18466236128989266</v>
      </c>
      <c r="H9" s="2">
        <f>A9*calc!M$31</f>
        <v>0.12834327138902735</v>
      </c>
      <c r="I9" s="2">
        <f>tandem!C$8-tandem!C$7*(EXP(G9/tandem!C$6/tandem!C$3)-1)</f>
        <v>2.0963940155544258</v>
      </c>
      <c r="J9" s="2">
        <f>tandem!C$15-tandem!C$14*(EXP(H9/tandem!C$13/tandem!C$3)-1)</f>
        <v>0.90360598278725013</v>
      </c>
    </row>
    <row r="10" spans="1:10" x14ac:dyDescent="0.2">
      <c r="A10">
        <v>0.14000000000000001</v>
      </c>
      <c r="B10">
        <f t="shared" si="0"/>
        <v>0.91254414941232731</v>
      </c>
      <c r="C10" s="2">
        <f t="shared" si="1"/>
        <v>0.82458128573981626</v>
      </c>
      <c r="D10" s="2">
        <f>tandem!C$6*tandem!C$3*LN((M$28-C10)/tandem!C$7+1)</f>
        <v>1.5064925468854558</v>
      </c>
      <c r="E10" s="2">
        <f>tandem!C$13*tandem!C$3*LN((M$29-C10)/tandem!C$14+1)</f>
        <v>0.97486407026920574</v>
      </c>
      <c r="F10" s="2">
        <f t="shared" si="2"/>
        <v>2.4813566171546615</v>
      </c>
      <c r="G10" s="2">
        <f>A10*calc!M$30</f>
        <v>0.2154394215048748</v>
      </c>
      <c r="H10" s="2">
        <f>A10*calc!M$31</f>
        <v>0.1497338166205319</v>
      </c>
      <c r="I10" s="2">
        <f>tandem!C$8-tandem!C$7*(EXP(G10/tandem!C$6/tandem!C$3)-1)</f>
        <v>2.0963940145003797</v>
      </c>
      <c r="J10" s="2">
        <f>tandem!C$15-tandem!C$14*(EXP(H10/tandem!C$13/tandem!C$3)-1)</f>
        <v>0.90360598276727078</v>
      </c>
    </row>
    <row r="11" spans="1:10" x14ac:dyDescent="0.2">
      <c r="A11">
        <v>0.16</v>
      </c>
      <c r="B11">
        <f t="shared" si="0"/>
        <v>0.89902071469415767</v>
      </c>
      <c r="C11" s="2">
        <f t="shared" si="1"/>
        <v>0.81236141539742457</v>
      </c>
      <c r="D11" s="2">
        <f>tandem!C$6*tandem!C$3*LN((M$28-C11)/tandem!C$7+1)</f>
        <v>1.5071117100433005</v>
      </c>
      <c r="E11" s="2">
        <f>tandem!C$13*tandem!C$3*LN((M$29-C11)/tandem!C$14+1)</f>
        <v>0.98045004101288447</v>
      </c>
      <c r="F11" s="2">
        <f t="shared" si="2"/>
        <v>2.4875617510561847</v>
      </c>
      <c r="G11" s="2">
        <f>A11*calc!M$30</f>
        <v>0.24621648171985691</v>
      </c>
      <c r="H11" s="2">
        <f>A11*calc!M$31</f>
        <v>0.17112436185203644</v>
      </c>
      <c r="I11" s="2">
        <f>tandem!C$8-tandem!C$7*(EXP(G11/tandem!C$6/tandem!C$3)-1)</f>
        <v>2.0963940128049141</v>
      </c>
      <c r="J11" s="2">
        <f>tandem!C$15-tandem!C$14*(EXP(H11/tandem!C$13/tandem!C$3)-1)</f>
        <v>0.90360598273262105</v>
      </c>
    </row>
    <row r="12" spans="1:10" x14ac:dyDescent="0.2">
      <c r="A12">
        <v>0.18</v>
      </c>
      <c r="B12">
        <f t="shared" si="0"/>
        <v>0.88522408847291678</v>
      </c>
      <c r="C12" s="2">
        <f t="shared" si="1"/>
        <v>0.79989468729916335</v>
      </c>
      <c r="D12" s="2">
        <f>tandem!C$6*tandem!C$3*LN((M$28-C12)/tandem!C$7+1)</f>
        <v>1.5077373383600423</v>
      </c>
      <c r="E12" s="2">
        <f>tandem!C$13*tandem!C$3*LN((M$29-C12)/tandem!C$14+1)</f>
        <v>0.98542546644536366</v>
      </c>
      <c r="F12" s="2">
        <f t="shared" si="2"/>
        <v>2.4931628048054062</v>
      </c>
      <c r="G12" s="2">
        <f>A12*calc!M$30</f>
        <v>0.27699354193483899</v>
      </c>
      <c r="H12" s="2">
        <f>A12*calc!M$31</f>
        <v>0.19251490708354099</v>
      </c>
      <c r="I12" s="2">
        <f>tandem!C$8-tandem!C$7*(EXP(G12/tandem!C$6/tandem!C$3)-1)</f>
        <v>2.096394010077705</v>
      </c>
      <c r="J12" s="2">
        <f>tandem!C$15-tandem!C$14*(EXP(H12/tandem!C$13/tandem!C$3)-1)</f>
        <v>0.90360598267252867</v>
      </c>
    </row>
    <row r="13" spans="1:10" x14ac:dyDescent="0.2">
      <c r="A13">
        <v>0.2</v>
      </c>
      <c r="B13">
        <f t="shared" si="0"/>
        <v>0.87114875191415841</v>
      </c>
      <c r="C13" s="2">
        <f t="shared" si="1"/>
        <v>0.78717611458756809</v>
      </c>
      <c r="D13" s="2">
        <f>tandem!C$6*tandem!C$3*LN((M$28-C13)/tandem!C$7+1)</f>
        <v>1.5083694362046274</v>
      </c>
      <c r="E13" s="2">
        <f>tandem!C$13*tandem!C$3*LN((M$29-C13)/tandem!C$14+1)</f>
        <v>0.98991955938850307</v>
      </c>
      <c r="F13" s="2">
        <f t="shared" si="2"/>
        <v>2.4982889955931302</v>
      </c>
      <c r="G13" s="2">
        <f>A13*calc!M$30</f>
        <v>0.30777060214982116</v>
      </c>
      <c r="H13" s="2">
        <f>A13*calc!M$31</f>
        <v>0.21390545231504557</v>
      </c>
      <c r="I13" s="2">
        <f>tandem!C$8-tandem!C$7*(EXP(G13/tandem!C$6/tandem!C$3)-1)</f>
        <v>2.0963940056909043</v>
      </c>
      <c r="J13" s="2">
        <f>tandem!C$15-tandem!C$14*(EXP(H13/tandem!C$13/tandem!C$3)-1)</f>
        <v>0.90360598256831171</v>
      </c>
    </row>
    <row r="14" spans="1:10" x14ac:dyDescent="0.2">
      <c r="A14">
        <v>0.22</v>
      </c>
      <c r="B14">
        <f t="shared" si="0"/>
        <v>0.85678907469558574</v>
      </c>
      <c r="C14" s="2">
        <f t="shared" si="1"/>
        <v>0.77420060966397086</v>
      </c>
      <c r="D14" s="2">
        <f>tandem!C$6*tandem!C$3*LN((M$28-C14)/tandem!C$7+1)</f>
        <v>1.5090080066554612</v>
      </c>
      <c r="E14" s="2">
        <f>tandem!C$13*tandem!C$3*LN((M$29-C14)/tandem!C$14+1)</f>
        <v>0.99402448156602508</v>
      </c>
      <c r="F14" s="2">
        <f t="shared" si="2"/>
        <v>2.5030324882214865</v>
      </c>
      <c r="G14" s="2">
        <f>A14*calc!M$30</f>
        <v>0.33854766236480321</v>
      </c>
      <c r="H14" s="2">
        <f>A14*calc!M$31</f>
        <v>0.23529599754655012</v>
      </c>
      <c r="I14" s="2">
        <f>tandem!C$8-tandem!C$7*(EXP(G14/tandem!C$6/tandem!C$3)-1)</f>
        <v>2.0963939986345994</v>
      </c>
      <c r="J14" s="2">
        <f>tandem!C$15-tandem!C$14*(EXP(H14/tandem!C$13/tandem!C$3)-1)</f>
        <v>0.90360598238756995</v>
      </c>
    </row>
    <row r="15" spans="1:10" x14ac:dyDescent="0.2">
      <c r="A15">
        <v>0.24</v>
      </c>
      <c r="B15">
        <f t="shared" si="0"/>
        <v>0.84213931275484599</v>
      </c>
      <c r="C15" s="2">
        <f t="shared" si="1"/>
        <v>0.7609629821533932</v>
      </c>
      <c r="D15" s="2">
        <f>tandem!C$6*tandem!C$3*LN((M$28-C15)/tandem!C$7+1)</f>
        <v>1.5096530514979505</v>
      </c>
      <c r="E15" s="2">
        <f>tandem!C$13*tandem!C$3*LN((M$29-C15)/tandem!C$14+1)</f>
        <v>0.99780828140140954</v>
      </c>
      <c r="F15" s="2">
        <f t="shared" si="2"/>
        <v>2.5074613328993598</v>
      </c>
      <c r="G15" s="2">
        <f>A15*calc!M$30</f>
        <v>0.36932472257978533</v>
      </c>
      <c r="H15" s="2">
        <f>A15*calc!M$31</f>
        <v>0.25668654277805469</v>
      </c>
      <c r="I15" s="2">
        <f>tandem!C$8-tandem!C$7*(EXP(G15/tandem!C$6/tandem!C$3)-1)</f>
        <v>2.0963939872843134</v>
      </c>
      <c r="J15" s="2">
        <f>tandem!C$15-tandem!C$14*(EXP(H15/tandem!C$13/tandem!C$3)-1)</f>
        <v>0.90360598207411291</v>
      </c>
    </row>
    <row r="16" spans="1:10" x14ac:dyDescent="0.2">
      <c r="A16">
        <v>0.26</v>
      </c>
      <c r="B16">
        <f t="shared" si="0"/>
        <v>0.82719360599183045</v>
      </c>
      <c r="C16" s="2">
        <f t="shared" si="1"/>
        <v>0.74745793682832673</v>
      </c>
      <c r="D16" s="2">
        <f>tandem!C$6*tandem!C$3*LN((M$28-C16)/tandem!C$7+1)</f>
        <v>1.5103045712230747</v>
      </c>
      <c r="E16" s="2">
        <f>tandem!C$13*tandem!C$3*LN((M$29-C16)/tandem!C$14+1)</f>
        <v>1.0013226353080527</v>
      </c>
      <c r="F16" s="2">
        <f t="shared" si="2"/>
        <v>2.5116272065311271</v>
      </c>
      <c r="G16" s="2">
        <f>A16*calc!M$30</f>
        <v>0.40010178279476749</v>
      </c>
      <c r="H16" s="2">
        <f>A16*calc!M$31</f>
        <v>0.27807708800955921</v>
      </c>
      <c r="I16" s="2">
        <f>tandem!C$8-tandem!C$7*(EXP(G16/tandem!C$6/tandem!C$3)-1)</f>
        <v>2.0963939690270252</v>
      </c>
      <c r="J16" s="2">
        <f>tandem!C$15-tandem!C$14*(EXP(H16/tandem!C$13/tandem!C$3)-1)</f>
        <v>0.90360598153049032</v>
      </c>
    </row>
    <row r="17" spans="1:13" x14ac:dyDescent="0.2">
      <c r="A17">
        <v>0.28000000000000003</v>
      </c>
      <c r="B17">
        <f t="shared" si="0"/>
        <v>0.81194597592455509</v>
      </c>
      <c r="C17" s="2">
        <f t="shared" si="1"/>
        <v>0.73368007149057202</v>
      </c>
      <c r="D17" s="2">
        <f>tandem!C$6*tandem!C$3*LN((M$28-C17)/tandem!C$7+1)</f>
        <v>1.5109625650269938</v>
      </c>
      <c r="E17" s="2">
        <f>tandem!C$13*tandem!C$3*LN((M$29-C17)/tandem!C$14+1)</f>
        <v>1.0046077119126335</v>
      </c>
      <c r="F17" s="2">
        <f t="shared" si="2"/>
        <v>2.5155702769396271</v>
      </c>
      <c r="G17" s="2">
        <f>A17*calc!M$30</f>
        <v>0.4308788430097496</v>
      </c>
      <c r="H17" s="2">
        <f>A17*calc!M$31</f>
        <v>0.29946763324106379</v>
      </c>
      <c r="I17" s="2">
        <f>tandem!C$8-tandem!C$7*(EXP(G17/tandem!C$6/tandem!C$3)-1)</f>
        <v>2.0963939396596101</v>
      </c>
      <c r="J17" s="2">
        <f>tandem!C$15-tandem!C$14*(EXP(H17/tandem!C$13/tandem!C$3)-1)</f>
        <v>0.90360598058769559</v>
      </c>
    </row>
    <row r="18" spans="1:13" x14ac:dyDescent="0.2">
      <c r="A18">
        <v>0.3</v>
      </c>
      <c r="B18">
        <f t="shared" si="0"/>
        <v>0.79639032329768833</v>
      </c>
      <c r="C18" s="2">
        <f t="shared" si="1"/>
        <v>0.71962387481028622</v>
      </c>
      <c r="D18" s="2">
        <f>tandem!C$6*tandem!C$3*LN((M$28-C18)/tandem!C$7+1)</f>
        <v>1.5116270308116901</v>
      </c>
      <c r="E18" s="2">
        <f>tandem!C$13*tandem!C$3*LN((M$29-C18)/tandem!C$14+1)</f>
        <v>1.0076953540254567</v>
      </c>
      <c r="F18" s="2">
        <f t="shared" si="2"/>
        <v>2.5193223848371469</v>
      </c>
      <c r="G18" s="2">
        <f>A18*calc!M$30</f>
        <v>0.46165590322473166</v>
      </c>
      <c r="H18" s="2">
        <f>A18*calc!M$31</f>
        <v>0.32085817847256831</v>
      </c>
      <c r="I18" s="2">
        <f>tandem!C$8-tandem!C$7*(EXP(G18/tandem!C$6/tandem!C$3)-1)</f>
        <v>2.0963938924212093</v>
      </c>
      <c r="J18" s="2">
        <f>tandem!C$15-tandem!C$14*(EXP(H18/tandem!C$13/tandem!C$3)-1)</f>
        <v>0.90360597895262429</v>
      </c>
    </row>
    <row r="19" spans="1:13" x14ac:dyDescent="0.2">
      <c r="A19">
        <v>0.32</v>
      </c>
      <c r="B19">
        <f t="shared" si="0"/>
        <v>0.78052042564276825</v>
      </c>
      <c r="C19" s="2">
        <f t="shared" si="1"/>
        <v>0.70528372412137919</v>
      </c>
      <c r="D19" s="2">
        <f>tandem!C$6*tandem!C$3*LN((M$28-C19)/tandem!C$7+1)</f>
        <v>1.5122979651866468</v>
      </c>
      <c r="E19" s="2">
        <f>tandem!C$13*tandem!C$3*LN((M$29-C19)/tandem!C$14+1)</f>
        <v>1.0106112315689006</v>
      </c>
      <c r="F19" s="2">
        <f t="shared" si="2"/>
        <v>2.5229091967555473</v>
      </c>
      <c r="G19" s="2">
        <f>A19*calc!M$30</f>
        <v>0.49243296343971382</v>
      </c>
      <c r="H19" s="2">
        <f>A19*calc!M$31</f>
        <v>0.34224872370407289</v>
      </c>
      <c r="I19" s="2">
        <f>tandem!C$8-tandem!C$7*(EXP(G19/tandem!C$6/tandem!C$3)-1)</f>
        <v>2.0963938164367741</v>
      </c>
      <c r="J19" s="2">
        <f>tandem!C$15-tandem!C$14*(EXP(H19/tandem!C$13/tandem!C$3)-1)</f>
        <v>0.90360597611695026</v>
      </c>
    </row>
    <row r="20" spans="1:13" x14ac:dyDescent="0.2">
      <c r="A20">
        <v>0.34</v>
      </c>
      <c r="B20">
        <f t="shared" si="0"/>
        <v>0.76432993478913136</v>
      </c>
      <c r="C20" s="2">
        <f t="shared" si="1"/>
        <v>0.69065388317237064</v>
      </c>
      <c r="D20" s="2">
        <f>tandem!C$6*tandem!C$3*LN((M$28-C20)/tandem!C$7+1)</f>
        <v>1.5129753634715564</v>
      </c>
      <c r="E20" s="2">
        <f>tandem!C$13*tandem!C$3*LN((M$29-C20)/tandem!C$14+1)</f>
        <v>1.0133763406652305</v>
      </c>
      <c r="F20" s="2">
        <f t="shared" si="2"/>
        <v>2.5263517041367871</v>
      </c>
      <c r="G20" s="2">
        <f>A20*calc!M$30</f>
        <v>0.52321002365469593</v>
      </c>
      <c r="H20" s="2">
        <f>A20*calc!M$31</f>
        <v>0.36363926893557746</v>
      </c>
      <c r="I20" s="2">
        <f>tandem!C$8-tandem!C$7*(EXP(G20/tandem!C$6/tandem!C$3)-1)</f>
        <v>2.0963936942134476</v>
      </c>
      <c r="J20" s="2">
        <f>tandem!C$15-tandem!C$14*(EXP(H20/tandem!C$13/tandem!C$3)-1)</f>
        <v>0.90360597119909358</v>
      </c>
    </row>
    <row r="21" spans="1:13" x14ac:dyDescent="0.2">
      <c r="A21">
        <v>0.36</v>
      </c>
      <c r="B21">
        <f t="shared" si="0"/>
        <v>0.74781237432456016</v>
      </c>
      <c r="C21" s="2">
        <f t="shared" si="1"/>
        <v>0.67572849983181393</v>
      </c>
      <c r="D21" s="2">
        <f>tandem!C$6*tandem!C$3*LN((M$28-C21)/tandem!C$7+1)</f>
        <v>1.5136592197000565</v>
      </c>
      <c r="E21" s="2">
        <f>tandem!C$13*tandem!C$3*LN((M$29-C21)/tandem!C$14+1)</f>
        <v>1.0160080735843235</v>
      </c>
      <c r="F21" s="2">
        <f t="shared" si="2"/>
        <v>2.5296672932843798</v>
      </c>
      <c r="G21" s="2">
        <f>A21*calc!M$30</f>
        <v>0.55398708386967799</v>
      </c>
      <c r="H21" s="2">
        <f>A21*calc!M$31</f>
        <v>0.38502981416708199</v>
      </c>
      <c r="I21" s="2">
        <f>tandem!C$8-tandem!C$7*(EXP(G21/tandem!C$6/tandem!C$3)-1)</f>
        <v>2.0963934976134273</v>
      </c>
      <c r="J21" s="2">
        <f>tandem!C$15-tandem!C$14*(EXP(H21/tandem!C$13/tandem!C$3)-1)</f>
        <v>0.9036059626701457</v>
      </c>
    </row>
    <row r="22" spans="1:13" x14ac:dyDescent="0.2">
      <c r="A22">
        <v>0.38</v>
      </c>
      <c r="B22">
        <f t="shared" si="0"/>
        <v>0.73096113700463139</v>
      </c>
      <c r="C22" s="2">
        <f t="shared" si="1"/>
        <v>0.66050160374736466</v>
      </c>
      <c r="D22" s="2">
        <f>tandem!C$6*tandem!C$3*LN((M$28-C22)/tandem!C$7+1)</f>
        <v>1.5143495266244871</v>
      </c>
      <c r="E22" s="2">
        <f>tandem!C$13*tandem!C$3*LN((M$29-C22)/tandem!C$14+1)</f>
        <v>1.0185209990205446</v>
      </c>
      <c r="F22" s="2">
        <f t="shared" si="2"/>
        <v>2.5328705256450315</v>
      </c>
      <c r="G22" s="2">
        <f>A22*calc!M$30</f>
        <v>0.58476414408466015</v>
      </c>
      <c r="H22" s="2">
        <f>A22*calc!M$31</f>
        <v>0.40642035939858656</v>
      </c>
      <c r="I22" s="2">
        <f>tandem!C$8-tandem!C$7*(EXP(G22/tandem!C$6/tandem!C$3)-1)</f>
        <v>2.0963931813761834</v>
      </c>
      <c r="J22" s="2">
        <f>tandem!C$15-tandem!C$14*(EXP(H22/tandem!C$13/tandem!C$3)-1)</f>
        <v>0.90360594787854964</v>
      </c>
    </row>
    <row r="23" spans="1:13" x14ac:dyDescent="0.2">
      <c r="A23">
        <v>0.4</v>
      </c>
      <c r="B23">
        <f t="shared" si="0"/>
        <v>0.71376948210973135</v>
      </c>
      <c r="C23" s="2">
        <f t="shared" si="1"/>
        <v>0.64496710395756152</v>
      </c>
      <c r="D23" s="2">
        <f>tandem!C$6*tandem!C$3*LN((M$28-C23)/tandem!C$7+1)</f>
        <v>1.5150462757216585</v>
      </c>
      <c r="E23" s="2">
        <f>tandem!C$13*tandem!C$3*LN((M$29-C23)/tandem!C$14+1)</f>
        <v>1.0209274419927177</v>
      </c>
      <c r="F23" s="2">
        <f t="shared" si="2"/>
        <v>2.5359737177143762</v>
      </c>
      <c r="G23" s="2">
        <f>A23*calc!M$30</f>
        <v>0.61554120429964232</v>
      </c>
      <c r="H23" s="2">
        <f>A23*calc!M$31</f>
        <v>0.42781090463009114</v>
      </c>
      <c r="I23" s="2">
        <f>tandem!C$8-tandem!C$7*(EXP(G23/tandem!C$6/tandem!C$3)-1)</f>
        <v>2.0963926726987463</v>
      </c>
      <c r="J23" s="2">
        <f>tandem!C$15-tandem!C$14*(EXP(H23/tandem!C$13/tandem!C$3)-1)</f>
        <v>0.90360592222575875</v>
      </c>
    </row>
    <row r="24" spans="1:13" x14ac:dyDescent="0.2">
      <c r="A24">
        <v>0.42</v>
      </c>
      <c r="B24">
        <f t="shared" si="0"/>
        <v>0.69623053274867686</v>
      </c>
      <c r="C24" s="2">
        <f t="shared" si="1"/>
        <v>0.62911878645535901</v>
      </c>
      <c r="D24" s="2">
        <f>tandem!C$6*tandem!C$3*LN((M$28-C24)/tandem!C$7+1)</f>
        <v>1.5157494571996253</v>
      </c>
      <c r="E24" s="2">
        <f>tandem!C$13*tandem!C$3*LN((M$29-C24)/tandem!C$14+1)</f>
        <v>1.0232379221110004</v>
      </c>
      <c r="F24" s="2">
        <f t="shared" si="2"/>
        <v>2.5389873793106257</v>
      </c>
      <c r="G24" s="2">
        <f>A24*calc!M$30</f>
        <v>0.64631826451462437</v>
      </c>
      <c r="H24" s="2">
        <f>A24*calc!M$31</f>
        <v>0.44920144986159566</v>
      </c>
      <c r="I24" s="2">
        <f>tandem!C$8-tandem!C$7*(EXP(G24/tandem!C$6/tandem!C$3)-1)</f>
        <v>2.096391854475276</v>
      </c>
      <c r="J24" s="2">
        <f>tandem!C$15-tandem!C$14*(EXP(H24/tandem!C$13/tandem!C$3)-1)</f>
        <v>0.90360587773659895</v>
      </c>
    </row>
    <row r="25" spans="1:13" x14ac:dyDescent="0.2">
      <c r="A25">
        <v>0.44</v>
      </c>
      <c r="B25">
        <f t="shared" si="0"/>
        <v>0.6783372731078674</v>
      </c>
      <c r="C25" s="2">
        <f t="shared" si="1"/>
        <v>0.61295031170244241</v>
      </c>
      <c r="D25" s="2">
        <f>tandem!C$6*tandem!C$3*LN((M$28-C25)/tandem!C$7+1)</f>
        <v>1.5164590600054482</v>
      </c>
      <c r="E25" s="2">
        <f>tandem!C$13*tandem!C$3*LN((M$29-C25)/tandem!C$14+1)</f>
        <v>1.0254614897950096</v>
      </c>
      <c r="F25" s="2">
        <f t="shared" si="2"/>
        <v>2.5419205498004578</v>
      </c>
      <c r="G25" s="2">
        <f>A25*calc!M$30</f>
        <v>0.67709532472960643</v>
      </c>
      <c r="H25" s="2">
        <f>A25*calc!M$31</f>
        <v>0.47059199509310023</v>
      </c>
      <c r="I25" s="2">
        <f>tandem!C$8-tandem!C$7*(EXP(G25/tandem!C$6/tandem!C$3)-1)</f>
        <v>2.0963905383373893</v>
      </c>
      <c r="J25" s="2">
        <f>tandem!C$15-tandem!C$14*(EXP(H25/tandem!C$13/tandem!C$3)-1)</f>
        <v>0.90360580057987405</v>
      </c>
    </row>
    <row r="26" spans="1:13" x14ac:dyDescent="0.2">
      <c r="A26">
        <v>0.46</v>
      </c>
      <c r="B26">
        <f t="shared" si="0"/>
        <v>0.66008254564486712</v>
      </c>
      <c r="C26" s="2">
        <f t="shared" si="1"/>
        <v>0.59645521209332819</v>
      </c>
      <c r="D26" s="2">
        <f>tandem!C$6*tandem!C$3*LN((M$28-C26)/tandem!C$7+1)</f>
        <v>1.517175071833937</v>
      </c>
      <c r="E26" s="2">
        <f>tandem!C$13*tandem!C$3*LN((M$29-C26)/tandem!C$14+1)</f>
        <v>1.0276059876928858</v>
      </c>
      <c r="F26" s="2">
        <f t="shared" si="2"/>
        <v>2.544781059526823</v>
      </c>
      <c r="G26" s="2">
        <f>A26*calc!M$30</f>
        <v>0.7078723849445886</v>
      </c>
      <c r="H26" s="2">
        <f>A26*calc!M$31</f>
        <v>0.49198254032460481</v>
      </c>
      <c r="I26" s="2">
        <f>tandem!C$8-tandem!C$7*(EXP(G26/tandem!C$6/tandem!C$3)-1)</f>
        <v>2.0963884212886859</v>
      </c>
      <c r="J26" s="2">
        <f>tandem!C$15-tandem!C$14*(EXP(H26/tandem!C$13/tandem!C$3)-1)</f>
        <v>0.90360566676839615</v>
      </c>
    </row>
    <row r="27" spans="1:13" x14ac:dyDescent="0.2">
      <c r="A27">
        <v>0.48</v>
      </c>
      <c r="B27">
        <f t="shared" si="0"/>
        <v>0.64145904822529087</v>
      </c>
      <c r="C27" s="2">
        <f t="shared" si="1"/>
        <v>0.57962688936823503</v>
      </c>
      <c r="D27" s="2">
        <f>tandem!C$6*tandem!C$3*LN((M$28-C27)/tandem!C$7+1)</f>
        <v>1.5178974791373567</v>
      </c>
      <c r="E27" s="2">
        <f>tandem!C$13*tandem!C$3*LN((M$29-C27)/tandem!C$14+1)</f>
        <v>1.0296782564223563</v>
      </c>
      <c r="F27" s="2">
        <f t="shared" si="2"/>
        <v>2.5475757355597128</v>
      </c>
      <c r="G27" s="2">
        <f>A27*calc!M$30</f>
        <v>0.73864944515957065</v>
      </c>
      <c r="H27" s="2">
        <f>A27*calc!M$31</f>
        <v>0.51337308555610939</v>
      </c>
      <c r="I27" s="2">
        <f>tandem!C$8-tandem!C$7*(EXP(G27/tandem!C$6/tandem!C$3)-1)</f>
        <v>2.0963850159500366</v>
      </c>
      <c r="J27" s="2">
        <f>tandem!C$15-tandem!C$14*(EXP(H27/tandem!C$13/tandem!C$3)-1)</f>
        <v>0.90360543470163068</v>
      </c>
      <c r="L27" t="s">
        <v>47</v>
      </c>
      <c r="M27">
        <v>0.90360700495514812</v>
      </c>
    </row>
    <row r="28" spans="1:13" x14ac:dyDescent="0.2">
      <c r="A28">
        <v>0.5</v>
      </c>
      <c r="B28">
        <f t="shared" si="0"/>
        <v>0.62245933120185448</v>
      </c>
      <c r="C28" s="2">
        <f t="shared" si="1"/>
        <v>0.56245861197369229</v>
      </c>
      <c r="D28" s="2">
        <f>tandem!C$6*tandem!C$3*LN((M$28-C28)/tandem!C$7+1)</f>
        <v>1.5186262671360811</v>
      </c>
      <c r="E28" s="2">
        <f>tandem!C$13*tandem!C$3*LN((M$29-C28)/tandem!C$14+1)</f>
        <v>1.0316842982845158</v>
      </c>
      <c r="F28" s="2">
        <f t="shared" si="2"/>
        <v>2.5503105654205971</v>
      </c>
      <c r="G28" s="2">
        <f>A28*calc!M$30</f>
        <v>0.76942650537455282</v>
      </c>
      <c r="H28" s="2">
        <f>A28*calc!M$31</f>
        <v>0.53476363078761391</v>
      </c>
      <c r="I28" s="2">
        <f>tandem!C$8-tandem!C$7*(EXP(G28/tandem!C$6/tandem!C$3)-1)</f>
        <v>2.0963795383569628</v>
      </c>
      <c r="J28" s="2">
        <f>tandem!C$15-tandem!C$14*(EXP(H28/tandem!C$13/tandem!C$3)-1)</f>
        <v>0.90360503223254141</v>
      </c>
      <c r="L28" t="s">
        <v>48</v>
      </c>
      <c r="M28">
        <v>2.0963940171865407</v>
      </c>
    </row>
    <row r="29" spans="1:13" x14ac:dyDescent="0.2">
      <c r="A29">
        <v>0.52</v>
      </c>
      <c r="B29">
        <f t="shared" si="0"/>
        <v>0.6030757944344155</v>
      </c>
      <c r="C29" s="2">
        <f t="shared" si="1"/>
        <v>0.54494351236982874</v>
      </c>
      <c r="D29" s="2">
        <f>tandem!C$6*tandem!C$3*LN((M$28-C29)/tandem!C$7+1)</f>
        <v>1.519361419830175</v>
      </c>
      <c r="E29" s="2">
        <f>tandem!C$13*tandem!C$3*LN((M$29-C29)/tandem!C$14+1)</f>
        <v>1.033629408849269</v>
      </c>
      <c r="F29" s="2">
        <f t="shared" si="2"/>
        <v>2.552990828679444</v>
      </c>
      <c r="G29" s="2">
        <f>A29*calc!M$30</f>
        <v>0.80020356558953498</v>
      </c>
      <c r="H29" s="2">
        <f>A29*calc!M$31</f>
        <v>0.55615417601911843</v>
      </c>
      <c r="I29" s="2">
        <f>tandem!C$8-tandem!C$7*(EXP(G29/tandem!C$6/tandem!C$3)-1)</f>
        <v>2.0963707274782295</v>
      </c>
      <c r="J29" s="2">
        <f>tandem!C$15-tandem!C$14*(EXP(H29/tandem!C$13/tandem!C$3)-1)</f>
        <v>0.90360433423786057</v>
      </c>
      <c r="L29" t="s">
        <v>49</v>
      </c>
      <c r="M29">
        <v>0.90360598281345939</v>
      </c>
    </row>
    <row r="30" spans="1:13" x14ac:dyDescent="0.2">
      <c r="A30">
        <v>0.54</v>
      </c>
      <c r="B30">
        <f t="shared" si="0"/>
        <v>0.58330068424981629</v>
      </c>
      <c r="C30" s="2">
        <f t="shared" si="1"/>
        <v>0.52707458428326504</v>
      </c>
      <c r="D30" s="2">
        <f>tandem!C$6*tandem!C$3*LN((M$28-C30)/tandem!C$7+1)</f>
        <v>1.5201029200118901</v>
      </c>
      <c r="E30" s="2">
        <f>tandem!C$13*tandem!C$3*LN((M$29-C30)/tandem!C$14+1)</f>
        <v>1.0355182836936685</v>
      </c>
      <c r="F30" s="2">
        <f t="shared" si="2"/>
        <v>2.5556212037055586</v>
      </c>
      <c r="G30" s="2">
        <f>A30*calc!M$30</f>
        <v>0.83098062580451715</v>
      </c>
      <c r="H30" s="2">
        <f>A30*calc!M$31</f>
        <v>0.57754472125062306</v>
      </c>
      <c r="I30" s="2">
        <f>tandem!C$8-tandem!C$7*(EXP(G30/tandem!C$6/tandem!C$3)-1)</f>
        <v>2.0963565549058969</v>
      </c>
      <c r="J30" s="2">
        <f>tandem!C$15-tandem!C$14*(EXP(H30/tandem!C$13/tandem!C$3)-1)</f>
        <v>0.90360312371862495</v>
      </c>
      <c r="L30" t="s">
        <v>40</v>
      </c>
      <c r="M30" s="2">
        <v>1.5388530107491056</v>
      </c>
    </row>
    <row r="31" spans="1:13" x14ac:dyDescent="0.2">
      <c r="A31">
        <v>0.56000000000000005</v>
      </c>
      <c r="B31">
        <f t="shared" si="0"/>
        <v>0.56312609034031147</v>
      </c>
      <c r="C31" s="2">
        <f t="shared" si="1"/>
        <v>0.50884467990451099</v>
      </c>
      <c r="D31" s="2">
        <f>tandem!C$6*tandem!C$3*LN((M$28-C31)/tandem!C$7+1)</f>
        <v>1.5208507492790482</v>
      </c>
      <c r="E31" s="2">
        <f>tandem!C$13*tandem!C$3*LN((M$29-C31)/tandem!C$14+1)</f>
        <v>1.037355105719084</v>
      </c>
      <c r="F31" s="2">
        <f t="shared" si="2"/>
        <v>2.5582058549981319</v>
      </c>
      <c r="G31" s="2">
        <f>A31*calc!M$30</f>
        <v>0.8617576860194992</v>
      </c>
      <c r="H31" s="2">
        <f>A31*calc!M$31</f>
        <v>0.59893526648212758</v>
      </c>
      <c r="I31" s="2">
        <f>tandem!C$8-tandem!C$7*(EXP(G31/tandem!C$6/tandem!C$3)-1)</f>
        <v>2.0963337578827379</v>
      </c>
      <c r="J31" s="2">
        <f>tandem!C$15-tandem!C$14*(EXP(H31/tandem!C$13/tandem!C$3)-1)</f>
        <v>0.90360102433755474</v>
      </c>
      <c r="L31" t="s">
        <v>42</v>
      </c>
      <c r="M31" s="2">
        <v>1.0695272615752278</v>
      </c>
    </row>
    <row r="32" spans="1:13" x14ac:dyDescent="0.2">
      <c r="A32">
        <v>0.57999999999999996</v>
      </c>
      <c r="B32">
        <f t="shared" si="0"/>
        <v>0.54254394259933914</v>
      </c>
      <c r="C32" s="2">
        <f t="shared" si="1"/>
        <v>0.49024650702874661</v>
      </c>
      <c r="D32" s="2">
        <f>tandem!C$6*tandem!C$3*LN((M$28-C32)/tandem!C$7+1)</f>
        <v>1.5216048880492956</v>
      </c>
      <c r="E32" s="2">
        <f>tandem!C$13*tandem!C$3*LN((M$29-C32)/tandem!C$14+1)</f>
        <v>1.0391436171391812</v>
      </c>
      <c r="F32" s="2">
        <f t="shared" si="2"/>
        <v>2.5607485051884771</v>
      </c>
      <c r="G32" s="2">
        <f>A32*calc!M$30</f>
        <v>0.89253474623448126</v>
      </c>
      <c r="H32" s="2">
        <f>A32*calc!M$31</f>
        <v>0.6203258117136321</v>
      </c>
      <c r="I32" s="2">
        <f>tandem!C$8-tandem!C$7*(EXP(G32/tandem!C$6/tandem!C$3)-1)</f>
        <v>2.0962970881623297</v>
      </c>
      <c r="J32" s="2">
        <f>tandem!C$15-tandem!C$14*(EXP(H32/tandem!C$13/tandem!C$3)-1)</f>
        <v>0.90359738341988249</v>
      </c>
      <c r="L32" t="s">
        <v>22</v>
      </c>
      <c r="M32">
        <v>2.6083802723243332</v>
      </c>
    </row>
    <row r="33" spans="1:10" x14ac:dyDescent="0.2">
      <c r="A33">
        <v>0.6</v>
      </c>
      <c r="B33">
        <f t="shared" si="0"/>
        <v>0.52154600789337047</v>
      </c>
      <c r="C33" s="2">
        <f t="shared" si="1"/>
        <v>0.47127262613884252</v>
      </c>
      <c r="D33" s="2">
        <f>tandem!C$6*tandem!C$3*LN((M$28-C33)/tandem!C$7+1)</f>
        <v>1.5223653155751991</v>
      </c>
      <c r="E33" s="2">
        <f>tandem!C$13*tandem!C$3*LN((M$29-C33)/tandem!C$14+1)</f>
        <v>1.0408871792588716</v>
      </c>
      <c r="F33" s="2">
        <f t="shared" si="2"/>
        <v>2.5632524948340709</v>
      </c>
      <c r="G33" s="2">
        <f>A33*calc!M$30</f>
        <v>0.92331180644946331</v>
      </c>
      <c r="H33" s="2">
        <f>A33*calc!M$31</f>
        <v>0.64171635694513662</v>
      </c>
      <c r="I33" s="2">
        <f>tandem!C$8-tandem!C$7*(EXP(G33/tandem!C$6/tandem!C$3)-1)</f>
        <v>2.0962381037771571</v>
      </c>
      <c r="J33" s="2">
        <f>tandem!C$15-tandem!C$14*(EXP(H33/tandem!C$13/tandem!C$3)-1)</f>
        <v>0.90359106904385766</v>
      </c>
    </row>
    <row r="34" spans="1:10" x14ac:dyDescent="0.2">
      <c r="A34">
        <v>0.62</v>
      </c>
      <c r="B34">
        <f t="shared" si="0"/>
        <v>0.5001238867685468</v>
      </c>
      <c r="C34" s="2">
        <f t="shared" si="1"/>
        <v>0.45191544742945422</v>
      </c>
      <c r="D34" s="2">
        <f>tandem!C$6*tandem!C$3*LN((M$28-C34)/tandem!C$7+1)</f>
        <v>1.5231320099601673</v>
      </c>
      <c r="E34" s="2">
        <f>tandem!C$13*tandem!C$3*LN((M$29-C34)/tandem!C$14+1)</f>
        <v>1.04258882244769</v>
      </c>
      <c r="F34" s="2">
        <f t="shared" si="2"/>
        <v>2.5657208324078571</v>
      </c>
      <c r="G34" s="2">
        <f>A34*calc!M$30</f>
        <v>0.95408886666444548</v>
      </c>
      <c r="H34" s="2">
        <f>A34*calc!M$31</f>
        <v>0.66310690217664126</v>
      </c>
      <c r="I34" s="2">
        <f>tandem!C$8-tandem!C$7*(EXP(G34/tandem!C$6/tandem!C$3)-1)</f>
        <v>2.0961432255600472</v>
      </c>
      <c r="J34" s="2">
        <f>tandem!C$15-tandem!C$14*(EXP(H34/tandem!C$13/tandem!C$3)-1)</f>
        <v>0.90358011813857175</v>
      </c>
    </row>
    <row r="35" spans="1:10" x14ac:dyDescent="0.2">
      <c r="A35">
        <v>0.64</v>
      </c>
      <c r="B35">
        <f t="shared" ref="B35:B53" si="3">1-(EXP(A35)-1)/(EXP(1)-1)</f>
        <v>0.47826901009078626</v>
      </c>
      <c r="C35" s="2">
        <f t="shared" si="1"/>
        <v>0.43216722777099886</v>
      </c>
      <c r="D35" s="2">
        <f>tandem!C$6*tandem!C$3*LN((M$28-C35)/tandem!C$7+1)</f>
        <v>1.5239049481751623</v>
      </c>
      <c r="E35" s="2">
        <f>tandem!C$13*tandem!C$3*LN((M$29-C35)/tandem!C$14+1)</f>
        <v>1.0442512881765602</v>
      </c>
      <c r="F35" s="2">
        <f t="shared" si="2"/>
        <v>2.5681562363517223</v>
      </c>
      <c r="G35" s="2">
        <f>A35*calc!M$30</f>
        <v>0.98486592687942764</v>
      </c>
      <c r="H35" s="2">
        <f>A35*calc!M$31</f>
        <v>0.68449744740814578</v>
      </c>
      <c r="I35" s="2">
        <f>tandem!C$8-tandem!C$7*(EXP(G35/tandem!C$6/tandem!C$3)-1)</f>
        <v>2.0959906109984887</v>
      </c>
      <c r="J35" s="2">
        <f>tandem!C$15-tandem!C$14*(EXP(H35/tandem!C$13/tandem!C$3)-1)</f>
        <v>0.90356112618653905</v>
      </c>
    </row>
    <row r="36" spans="1:10" x14ac:dyDescent="0.2">
      <c r="A36">
        <v>0.66</v>
      </c>
      <c r="B36">
        <f t="shared" si="3"/>
        <v>0.45597263561801538</v>
      </c>
      <c r="C36" s="2">
        <f t="shared" si="1"/>
        <v>0.41202006761229998</v>
      </c>
      <c r="D36" s="2">
        <f>tandem!C$6*tandem!C$3*LN((M$28-C36)/tandem!C$7+1)</f>
        <v>1.5246841060761838</v>
      </c>
      <c r="E36" s="2">
        <f>tandem!C$13*tandem!C$3*LN((M$29-C36)/tandem!C$14+1)</f>
        <v>1.0458770645840696</v>
      </c>
      <c r="F36" s="2">
        <f t="shared" ref="F36:F53" si="4">D36+E36</f>
        <v>2.5705611706602536</v>
      </c>
      <c r="G36" s="2">
        <f>A36*calc!M$30</f>
        <v>1.0156429870944097</v>
      </c>
      <c r="H36" s="2">
        <f>A36*calc!M$31</f>
        <v>0.70588799263965041</v>
      </c>
      <c r="I36" s="2">
        <f>tandem!C$8-tandem!C$7*(EXP(G36/tandem!C$6/tandem!C$3)-1)</f>
        <v>2.0957451257321211</v>
      </c>
      <c r="J36" s="2">
        <f>tandem!C$15-tandem!C$14*(EXP(H36/tandem!C$13/tandem!C$3)-1)</f>
        <v>0.9035281887961959</v>
      </c>
    </row>
    <row r="37" spans="1:10" x14ac:dyDescent="0.2">
      <c r="A37">
        <v>0.68</v>
      </c>
      <c r="B37">
        <f t="shared" si="3"/>
        <v>0.43322584450315627</v>
      </c>
      <c r="C37" s="2">
        <f t="shared" si="1"/>
        <v>0.39146590782066176</v>
      </c>
      <c r="D37" s="2">
        <f>tandem!C$6*tandem!C$3*LN((M$28-C37)/tandem!C$7+1)</f>
        <v>1.5254694584224922</v>
      </c>
      <c r="E37" s="2">
        <f>tandem!C$13*tandem!C$3*LN((M$29-C37)/tandem!C$14+1)</f>
        <v>1.0474684167318142</v>
      </c>
      <c r="F37" s="2">
        <f t="shared" si="4"/>
        <v>2.5729378751543064</v>
      </c>
      <c r="G37" s="2">
        <f>A37*calc!M$30</f>
        <v>1.0464200473093919</v>
      </c>
      <c r="H37" s="2">
        <f>A37*calc!M$31</f>
        <v>0.72727853787115493</v>
      </c>
      <c r="I37" s="2">
        <f>tandem!C$8-tandem!C$7*(EXP(G37/tandem!C$6/tandem!C$3)-1)</f>
        <v>2.0953502550501364</v>
      </c>
      <c r="J37" s="2">
        <f>tandem!C$15-tandem!C$14*(EXP(H37/tandem!C$13/tandem!C$3)-1)</f>
        <v>0.90347106609070704</v>
      </c>
    </row>
    <row r="38" spans="1:10" x14ac:dyDescent="0.2">
      <c r="A38">
        <v>0.70000000000000007</v>
      </c>
      <c r="B38">
        <f t="shared" si="3"/>
        <v>0.41001953772646837</v>
      </c>
      <c r="C38" s="2">
        <f t="shared" si="1"/>
        <v>0.37049652645810843</v>
      </c>
      <c r="D38" s="2">
        <f>tandem!C$6*tandem!C$3*LN((M$28-C38)/tandem!C$7+1)</f>
        <v>1.5262609788955452</v>
      </c>
      <c r="E38" s="2">
        <f>tandem!C$13*tandem!C$3*LN((M$29-C38)/tandem!C$14+1)</f>
        <v>1.0490274124729573</v>
      </c>
      <c r="F38" s="2">
        <f t="shared" si="4"/>
        <v>2.5752883913685025</v>
      </c>
      <c r="G38" s="2">
        <f>A38*calc!M$30</f>
        <v>1.077197107524374</v>
      </c>
      <c r="H38" s="2">
        <f>A38*calc!M$31</f>
        <v>0.74866908310265956</v>
      </c>
      <c r="I38" s="2">
        <f>tandem!C$8-tandem!C$7*(EXP(G38/tandem!C$6/tandem!C$3)-1)</f>
        <v>2.0947150932834102</v>
      </c>
      <c r="J38" s="2">
        <f>tandem!C$15-tandem!C$14*(EXP(H38/tandem!C$13/tandem!C$3)-1)</f>
        <v>0.90337199924150136</v>
      </c>
    </row>
    <row r="39" spans="1:10" x14ac:dyDescent="0.2">
      <c r="A39">
        <v>0.72</v>
      </c>
      <c r="B39">
        <f t="shared" si="3"/>
        <v>0.3863444324558194</v>
      </c>
      <c r="C39" s="2">
        <f t="shared" si="1"/>
        <v>0.34910353549249951</v>
      </c>
      <c r="D39" s="2">
        <f>tandem!C$6*tandem!C$3*LN((M$28-C39)/tandem!C$7+1)</f>
        <v>1.5270586401186153</v>
      </c>
      <c r="E39" s="2">
        <f>tandem!C$13*tandem!C$3*LN((M$29-C39)/tandem!C$14+1)</f>
        <v>1.0505559446758095</v>
      </c>
      <c r="F39" s="2">
        <f t="shared" si="4"/>
        <v>2.577614584794425</v>
      </c>
      <c r="G39" s="2">
        <f>A39*calc!M$30</f>
        <v>1.107974167739356</v>
      </c>
      <c r="H39" s="2">
        <f>A39*calc!M$31</f>
        <v>0.77005962833416397</v>
      </c>
      <c r="I39" s="2">
        <f>tandem!C$8-tandem!C$7*(EXP(G39/tandem!C$6/tandem!C$3)-1)</f>
        <v>2.0936934158373077</v>
      </c>
      <c r="J39" s="2">
        <f>tandem!C$15-tandem!C$14*(EXP(H39/tandem!C$13/tandem!C$3)-1)</f>
        <v>0.90320018944139524</v>
      </c>
    </row>
    <row r="40" spans="1:10" x14ac:dyDescent="0.2">
      <c r="A40">
        <v>0.74</v>
      </c>
      <c r="B40">
        <f t="shared" si="3"/>
        <v>0.36219105833342879</v>
      </c>
      <c r="C40" s="2">
        <f t="shared" si="1"/>
        <v>0.32727837744220495</v>
      </c>
      <c r="D40" s="2">
        <f>tandem!C$6*tandem!C$3*LN((M$28-C40)/tandem!C$7+1)</f>
        <v>1.527862413677062</v>
      </c>
      <c r="E40" s="2">
        <f>tandem!C$13*tandem!C$3*LN((M$29-C40)/tandem!C$14+1)</f>
        <v>1.0520557504018939</v>
      </c>
      <c r="F40" s="2">
        <f t="shared" si="4"/>
        <v>2.5799181640789559</v>
      </c>
      <c r="G40" s="2">
        <f>A40*calc!M$30</f>
        <v>1.1387512279543381</v>
      </c>
      <c r="H40" s="2">
        <f>A40*calc!M$31</f>
        <v>0.7914501735656686</v>
      </c>
      <c r="I40" s="2">
        <f>tandem!C$8-tandem!C$7*(EXP(G40/tandem!C$6/tandem!C$3)-1)</f>
        <v>2.0920500159058939</v>
      </c>
      <c r="J40" s="2">
        <f>tandem!C$15-tandem!C$14*(EXP(H40/tandem!C$13/tandem!C$3)-1)</f>
        <v>0.90290222289002953</v>
      </c>
    </row>
    <row r="41" spans="1:10" x14ac:dyDescent="0.2">
      <c r="A41">
        <v>0.76</v>
      </c>
      <c r="B41">
        <f t="shared" si="3"/>
        <v>0.33754975368759832</v>
      </c>
      <c r="C41" s="2">
        <f t="shared" si="1"/>
        <v>0.30501232195299866</v>
      </c>
      <c r="D41" s="2">
        <f>tandem!C$6*tandem!C$3*LN((M$28-C41)/tandem!C$7+1)</f>
        <v>1.5286722701392261</v>
      </c>
      <c r="E41" s="2">
        <f>tandem!C$13*tandem!C$3*LN((M$29-C41)/tandem!C$14+1)</f>
        <v>1.0535284275260035</v>
      </c>
      <c r="F41" s="2">
        <f t="shared" si="4"/>
        <v>2.5822006976652299</v>
      </c>
      <c r="G41" s="2">
        <f>A41*calc!M$30</f>
        <v>1.1695282881693203</v>
      </c>
      <c r="H41" s="2">
        <f>A41*calc!M$31</f>
        <v>0.81284071879717312</v>
      </c>
      <c r="I41" s="2">
        <f>tandem!C$8-tandem!C$7*(EXP(G41/tandem!C$6/tandem!C$3)-1)</f>
        <v>2.0894065560303012</v>
      </c>
      <c r="J41" s="2">
        <f>tandem!C$15-tandem!C$14*(EXP(H41/tandem!C$13/tandem!C$3)-1)</f>
        <v>0.90238546502361017</v>
      </c>
    </row>
    <row r="42" spans="1:10" x14ac:dyDescent="0.2">
      <c r="A42">
        <v>0.78</v>
      </c>
      <c r="B42">
        <f t="shared" si="3"/>
        <v>0.31241066166791442</v>
      </c>
      <c r="C42" s="2">
        <f t="shared" si="1"/>
        <v>0.28229646230580024</v>
      </c>
      <c r="D42" s="2">
        <f>tandem!C$6*tandem!C$3*LN((M$28-C42)/tandem!C$7+1)</f>
        <v>1.5294881790779111</v>
      </c>
      <c r="E42" s="2">
        <f>tandem!C$13*tandem!C$3*LN((M$29-C42)/tandem!C$14+1)</f>
        <v>1.05497544919707</v>
      </c>
      <c r="F42" s="2">
        <f t="shared" si="4"/>
        <v>2.5844636282749809</v>
      </c>
      <c r="G42" s="2">
        <f>A42*calc!M$30</f>
        <v>1.2003053483843025</v>
      </c>
      <c r="H42" s="2">
        <f>A42*calc!M$31</f>
        <v>0.83423126402867775</v>
      </c>
      <c r="I42" s="2">
        <f>tandem!C$8-tandem!C$7*(EXP(G42/tandem!C$6/tandem!C$3)-1)</f>
        <v>2.0851544686471302</v>
      </c>
      <c r="J42" s="2">
        <f>tandem!C$15-tandem!C$14*(EXP(H42/tandem!C$13/tandem!C$3)-1)</f>
        <v>0.90148926143538088</v>
      </c>
    </row>
    <row r="43" spans="1:10" x14ac:dyDescent="0.2">
      <c r="A43">
        <v>0.8</v>
      </c>
      <c r="B43">
        <f t="shared" si="3"/>
        <v>0.28676372630237679</v>
      </c>
      <c r="C43" s="2">
        <f t="shared" si="1"/>
        <v>0.25912171185386851</v>
      </c>
      <c r="D43" s="2">
        <f>tandem!C$6*tandem!C$3*LN((M$28-C43)/tandem!C$7+1)</f>
        <v>1.5303101090924252</v>
      </c>
      <c r="E43" s="2">
        <f>tandem!C$13*tandem!C$3*LN((M$29-C43)/tandem!C$14+1)</f>
        <v>1.0563981764679624</v>
      </c>
      <c r="F43" s="2">
        <f t="shared" si="4"/>
        <v>2.5867082855603876</v>
      </c>
      <c r="G43" s="2">
        <f>A43*calc!M$30</f>
        <v>1.2310824085992846</v>
      </c>
      <c r="H43" s="2">
        <f>A43*calc!M$31</f>
        <v>0.85562180926018228</v>
      </c>
      <c r="I43" s="2">
        <f>tandem!C$8-tandem!C$7*(EXP(G43/tandem!C$6/tandem!C$3)-1)</f>
        <v>2.0783148539130227</v>
      </c>
      <c r="J43" s="2">
        <f>tandem!C$15-tandem!C$14*(EXP(H43/tandem!C$13/tandem!C$3)-1)</f>
        <v>0.89993499216586703</v>
      </c>
    </row>
    <row r="44" spans="1:10" x14ac:dyDescent="0.2">
      <c r="A44">
        <v>0.82000000000000006</v>
      </c>
      <c r="B44">
        <f t="shared" si="3"/>
        <v>0.26059868847487599</v>
      </c>
      <c r="C44" s="2">
        <f t="shared" si="1"/>
        <v>0.23547880038802238</v>
      </c>
      <c r="D44" s="2">
        <f>tandem!C$6*tandem!C$3*LN((M$28-C44)/tandem!C$7+1)</f>
        <v>1.5311380278311486</v>
      </c>
      <c r="E44" s="2">
        <f>tandem!C$13*tandem!C$3*LN((M$29-C44)/tandem!C$14+1)</f>
        <v>1.0577978693655865</v>
      </c>
      <c r="F44" s="2">
        <f t="shared" si="4"/>
        <v>2.5889358971967349</v>
      </c>
      <c r="G44" s="2">
        <f>A44*calc!M$30</f>
        <v>1.2618594688142668</v>
      </c>
      <c r="H44" s="2">
        <f>A44*calc!M$31</f>
        <v>0.87701235449168691</v>
      </c>
      <c r="I44" s="2">
        <f>tandem!C$8-tandem!C$7*(EXP(G44/tandem!C$6/tandem!C$3)-1)</f>
        <v>2.0673131210003453</v>
      </c>
      <c r="J44" s="2">
        <f>tandem!C$15-tandem!C$14*(EXP(H44/tandem!C$13/tandem!C$3)-1)</f>
        <v>0.89723945178432485</v>
      </c>
    </row>
    <row r="45" spans="1:10" x14ac:dyDescent="0.2">
      <c r="A45">
        <v>0.84</v>
      </c>
      <c r="B45">
        <f t="shared" si="3"/>
        <v>0.23390508182140923</v>
      </c>
      <c r="C45" s="2">
        <f t="shared" si="1"/>
        <v>0.21135827042843247</v>
      </c>
      <c r="D45" s="2">
        <f>tandem!C$6*tandem!C$3*LN((M$28-C45)/tandem!C$7+1)</f>
        <v>1.5319719020145921</v>
      </c>
      <c r="E45" s="2">
        <f>tandem!C$13*tandem!C$3*LN((M$29-C45)/tandem!C$14+1)</f>
        <v>1.0591756966268706</v>
      </c>
      <c r="F45" s="2">
        <f t="shared" si="4"/>
        <v>2.5911475986414629</v>
      </c>
      <c r="G45" s="2">
        <f>A45*calc!M$30</f>
        <v>1.2926365290292487</v>
      </c>
      <c r="H45" s="2">
        <f>A45*calc!M$31</f>
        <v>0.89840289972319132</v>
      </c>
      <c r="I45" s="2">
        <f>tandem!C$8-tandem!C$7*(EXP(G45/tandem!C$6/tandem!C$3)-1)</f>
        <v>2.049616491615899</v>
      </c>
      <c r="J45" s="2">
        <f>tandem!C$15-tandem!C$14*(EXP(H45/tandem!C$13/tandem!C$3)-1)</f>
        <v>0.89256462606973208</v>
      </c>
    </row>
    <row r="46" spans="1:10" x14ac:dyDescent="0.2">
      <c r="A46">
        <v>0.86</v>
      </c>
      <c r="B46">
        <f t="shared" si="3"/>
        <v>0.20667222854339495</v>
      </c>
      <c r="C46" s="2">
        <f t="shared" si="1"/>
        <v>0.186750473441503</v>
      </c>
      <c r="D46" s="2">
        <f>tandem!C$6*tandem!C$3*LN((M$28-C46)/tandem!C$7+1)</f>
        <v>1.5328116974589148</v>
      </c>
      <c r="E46" s="2">
        <f>tandem!C$13*tandem!C$3*LN((M$29-C46)/tandem!C$14+1)</f>
        <v>1.060532744289048</v>
      </c>
      <c r="F46" s="2">
        <f t="shared" si="4"/>
        <v>2.5933444417479627</v>
      </c>
      <c r="G46" s="2">
        <f>A46*calc!M$30</f>
        <v>1.3234135892442309</v>
      </c>
      <c r="H46" s="2">
        <f>A46*calc!M$31</f>
        <v>0.91979344495469595</v>
      </c>
      <c r="I46" s="2">
        <f>tandem!C$8-tandem!C$7*(EXP(G46/tandem!C$6/tandem!C$3)-1)</f>
        <v>2.0211509131423875</v>
      </c>
      <c r="J46" s="2">
        <f>tandem!C$15-tandem!C$14*(EXP(H46/tandem!C$13/tandem!C$3)-1)</f>
        <v>0.88445716249342499</v>
      </c>
    </row>
    <row r="47" spans="1:10" x14ac:dyDescent="0.2">
      <c r="A47">
        <v>0.88</v>
      </c>
      <c r="B47">
        <f t="shared" si="3"/>
        <v>0.17888923513641275</v>
      </c>
      <c r="C47" s="2">
        <f t="shared" si="1"/>
        <v>0.16164556598033117</v>
      </c>
      <c r="D47" s="2">
        <f>tandem!C$6*tandem!C$3*LN((M$28-C47)/tandem!C$7+1)</f>
        <v>1.5336573790998675</v>
      </c>
      <c r="E47" s="2">
        <f>tandem!C$13*tandem!C$3*LN((M$29-C47)/tandem!C$14+1)</f>
        <v>1.0618700232923211</v>
      </c>
      <c r="F47" s="2">
        <f t="shared" si="4"/>
        <v>2.5955274023921886</v>
      </c>
      <c r="G47" s="2">
        <f>A47*calc!M$30</f>
        <v>1.3541906494592129</v>
      </c>
      <c r="H47" s="2">
        <f>A47*calc!M$31</f>
        <v>0.94118399018620047</v>
      </c>
      <c r="I47" s="2">
        <f>tandem!C$8-tandem!C$7*(EXP(G47/tandem!C$6/tandem!C$3)-1)</f>
        <v>1.9753631453009117</v>
      </c>
      <c r="J47" s="2">
        <f>tandem!C$15-tandem!C$14*(EXP(H47/tandem!C$13/tandem!C$3)-1)</f>
        <v>0.87039653870675415</v>
      </c>
    </row>
    <row r="48" spans="1:10" x14ac:dyDescent="0.2">
      <c r="A48">
        <v>0.9</v>
      </c>
      <c r="B48">
        <f t="shared" si="3"/>
        <v>0.15054498803265481</v>
      </c>
      <c r="C48" s="2">
        <f t="shared" si="1"/>
        <v>0.13603350574719583</v>
      </c>
      <c r="D48" s="2">
        <f>tandem!C$6*tandem!C$3*LN((M$28-C48)/tandem!C$7+1)</f>
        <v>1.5345089110171293</v>
      </c>
      <c r="E48" s="2">
        <f>tandem!C$13*tandem!C$3*LN((M$29-C48)/tandem!C$14+1)</f>
        <v>1.0631884762281065</v>
      </c>
      <c r="F48" s="2">
        <f t="shared" si="4"/>
        <v>2.597697387245236</v>
      </c>
      <c r="G48" s="2">
        <f>A48*calc!M$30</f>
        <v>1.384967709674195</v>
      </c>
      <c r="H48" s="2">
        <f>A48*calc!M$31</f>
        <v>0.9625745354177051</v>
      </c>
      <c r="I48" s="2">
        <f>tandem!C$8-tandem!C$7*(EXP(G48/tandem!C$6/tandem!C$3)-1)</f>
        <v>1.9017120973920918</v>
      </c>
      <c r="J48" s="2">
        <f>tandem!C$15-tandem!C$14*(EXP(H48/tandem!C$13/tandem!C$3)-1)</f>
        <v>0.8460114595251399</v>
      </c>
    </row>
    <row r="49" spans="1:10" x14ac:dyDescent="0.2">
      <c r="A49">
        <v>0.92</v>
      </c>
      <c r="B49">
        <f t="shared" si="3"/>
        <v>0.12162814915535169</v>
      </c>
      <c r="C49" s="2">
        <f t="shared" si="1"/>
        <v>0.10990404757650538</v>
      </c>
      <c r="D49" s="2">
        <f>tandem!C$6*tandem!C$3*LN((M$28-C49)/tandem!C$7+1)</f>
        <v>1.5353662564589992</v>
      </c>
      <c r="E49" s="2">
        <f>tandem!C$13*tandem!C$3*LN((M$29-C49)/tandem!C$14+1)</f>
        <v>1.0644889833455744</v>
      </c>
      <c r="F49" s="2">
        <f t="shared" si="4"/>
        <v>2.5998552398045733</v>
      </c>
      <c r="G49" s="2">
        <f>A49*calc!M$30</f>
        <v>1.4157447698891772</v>
      </c>
      <c r="H49" s="2">
        <f>A49*calc!M$31</f>
        <v>0.98396508064920962</v>
      </c>
      <c r="I49" s="2">
        <f>tandem!C$8-tandem!C$7*(EXP(G49/tandem!C$6/tandem!C$3)-1)</f>
        <v>1.7832420973508636</v>
      </c>
      <c r="J49" s="2">
        <f>tandem!C$15-tandem!C$14*(EXP(H49/tandem!C$13/tandem!C$3)-1)</f>
        <v>0.80372086874372139</v>
      </c>
    </row>
    <row r="50" spans="1:10" x14ac:dyDescent="0.2">
      <c r="A50">
        <v>0.94000000000000006</v>
      </c>
      <c r="B50">
        <f t="shared" si="3"/>
        <v>9.2127151383389227E-2</v>
      </c>
      <c r="C50" s="2">
        <f t="shared" si="1"/>
        <v>8.3246739336593864E-2</v>
      </c>
      <c r="D50" s="2">
        <f>tandem!C$6*tandem!C$3*LN((M$28-C50)/tandem!C$7+1)</f>
        <v>1.5362293778674148</v>
      </c>
      <c r="E50" s="2">
        <f>tandem!C$13*tandem!C$3*LN((M$29-C50)/tandem!C$14+1)</f>
        <v>1.0657723679122075</v>
      </c>
      <c r="F50" s="2">
        <f t="shared" si="4"/>
        <v>2.6020017457796225</v>
      </c>
      <c r="G50" s="2">
        <f>A50*calc!M$30</f>
        <v>1.4465218301041594</v>
      </c>
      <c r="H50" s="2">
        <f>A50*calc!M$31</f>
        <v>1.0053556258807141</v>
      </c>
      <c r="I50" s="2">
        <f>tandem!C$8-tandem!C$7*(EXP(G50/tandem!C$6/tandem!C$3)-1)</f>
        <v>1.5926794195849787</v>
      </c>
      <c r="J50" s="2">
        <f>tandem!C$15-tandem!C$14*(EXP(H50/tandem!C$13/tandem!C$3)-1)</f>
        <v>0.73037708112174338</v>
      </c>
    </row>
    <row r="51" spans="1:10" x14ac:dyDescent="0.2">
      <c r="A51">
        <v>0.96</v>
      </c>
      <c r="B51">
        <f t="shared" si="3"/>
        <v>6.2030193924306976E-2</v>
      </c>
      <c r="C51" s="2">
        <f t="shared" si="1"/>
        <v>5.6050917748730049E-2</v>
      </c>
      <c r="D51" s="2">
        <f>tandem!C$6*tandem!C$3*LN((M$28-C51)/tandem!C$7+1)</f>
        <v>1.5370982369032591</v>
      </c>
      <c r="E51" s="2">
        <f>tandem!C$13*tandem!C$3*LN((M$29-C51)/tandem!C$14+1)</f>
        <v>1.0670394010100062</v>
      </c>
      <c r="F51" s="2">
        <f t="shared" si="4"/>
        <v>2.604137637913265</v>
      </c>
      <c r="G51" s="2">
        <f>A51*calc!M$30</f>
        <v>1.4772988903191413</v>
      </c>
      <c r="H51" s="2">
        <f>A51*calc!M$31</f>
        <v>1.0267461711122188</v>
      </c>
      <c r="I51" s="2">
        <f>tandem!C$8-tandem!C$7*(EXP(G51/tandem!C$6/tandem!C$3)-1)</f>
        <v>1.2861534286618137</v>
      </c>
      <c r="J51" s="2">
        <f>tandem!C$15-tandem!C$14*(EXP(H51/tandem!C$13/tandem!C$3)-1)</f>
        <v>0.60317830987399268</v>
      </c>
    </row>
    <row r="52" spans="1:10" x14ac:dyDescent="0.2">
      <c r="A52">
        <v>0.98</v>
      </c>
      <c r="B52">
        <f t="shared" si="3"/>
        <v>3.1325237593822997E-2</v>
      </c>
      <c r="C52" s="2">
        <f t="shared" si="1"/>
        <v>2.8305704121662809E-2</v>
      </c>
      <c r="D52" s="2">
        <f>tandem!C$6*tandem!C$3*LN((M$28-C52)/tandem!C$7+1)</f>
        <v>1.5379727944719253</v>
      </c>
      <c r="E52" s="2">
        <f>tandem!C$13*tandem!C$3*LN((M$29-C52)/tandem!C$14+1)</f>
        <v>1.0682908058371716</v>
      </c>
      <c r="F52" s="2">
        <f t="shared" si="4"/>
        <v>2.6062636003090969</v>
      </c>
      <c r="G52" s="2">
        <f>A52*calc!M$30</f>
        <v>1.5080759505341235</v>
      </c>
      <c r="H52" s="2">
        <f>A52*calc!M$31</f>
        <v>1.0481367163437232</v>
      </c>
      <c r="I52" s="2">
        <f>tandem!C$8-tandem!C$7*(EXP(G52/tandem!C$6/tandem!C$3)-1)</f>
        <v>0.79309684374721523</v>
      </c>
      <c r="J52" s="2">
        <f>tandem!C$15-tandem!C$14*(EXP(H52/tandem!C$13/tandem!C$3)-1)</f>
        <v>0.38257983887154068</v>
      </c>
    </row>
    <row r="53" spans="1:10" x14ac:dyDescent="0.2">
      <c r="A53">
        <v>1</v>
      </c>
      <c r="B53">
        <f t="shared" si="3"/>
        <v>0</v>
      </c>
      <c r="C53" s="2">
        <f t="shared" si="1"/>
        <v>0</v>
      </c>
      <c r="D53" s="2">
        <f>tandem!C$6*tandem!C$3*LN((M$28-C53)/tandem!C$7+1)</f>
        <v>1.5388530107491056</v>
      </c>
      <c r="E53" s="2">
        <f>tandem!C$13*tandem!C$3*LN((M$29-C53)/tandem!C$14+1)</f>
        <v>1.0695272615752278</v>
      </c>
      <c r="F53" s="2">
        <f t="shared" si="4"/>
        <v>2.6083802723243332</v>
      </c>
      <c r="G53" s="2">
        <f>A53*calc!M$30</f>
        <v>1.5388530107491056</v>
      </c>
      <c r="H53" s="2">
        <f>A53*calc!M$31</f>
        <v>1.0695272615752278</v>
      </c>
      <c r="I53" s="2">
        <f>tandem!C$8-tandem!C$7*(EXP(G53/tandem!C$6/tandem!C$3)-1)</f>
        <v>9.7699626167013776E-15</v>
      </c>
      <c r="J53" s="2">
        <f>tandem!C$15-tandem!C$14*(EXP(H53/tandem!C$13/tandem!C$3)-1)</f>
        <v>4.7739590058881731E-15</v>
      </c>
    </row>
    <row r="54" spans="1:10" x14ac:dyDescent="0.2">
      <c r="C54" s="5"/>
      <c r="D54" s="5"/>
      <c r="E54" s="5"/>
      <c r="F54" s="5"/>
      <c r="G54" s="5"/>
      <c r="H54" s="5"/>
    </row>
    <row r="55" spans="1:10" x14ac:dyDescent="0.2">
      <c r="C55" s="5"/>
      <c r="D55" s="5"/>
      <c r="E55" s="5"/>
      <c r="F55" s="5"/>
      <c r="G55" s="5"/>
      <c r="H55" s="5"/>
    </row>
    <row r="56" spans="1:10" x14ac:dyDescent="0.2">
      <c r="C56" s="5"/>
      <c r="D56" s="5"/>
      <c r="E56" s="5"/>
      <c r="F56" s="5"/>
      <c r="G56" s="5"/>
      <c r="H56" s="5"/>
    </row>
    <row r="57" spans="1:10" x14ac:dyDescent="0.2">
      <c r="C57" s="5"/>
      <c r="D57" s="5"/>
      <c r="E57" s="5"/>
      <c r="F57" s="5"/>
      <c r="G57" s="5"/>
      <c r="H57" s="5"/>
    </row>
    <row r="58" spans="1:10" x14ac:dyDescent="0.2">
      <c r="C58" s="5"/>
      <c r="D58" s="5"/>
      <c r="E58" s="5"/>
      <c r="F58" s="5"/>
      <c r="G58" s="5"/>
      <c r="H58" s="5"/>
    </row>
    <row r="59" spans="1:10" x14ac:dyDescent="0.2">
      <c r="C59" s="5"/>
      <c r="D59" s="5"/>
      <c r="E59" s="5"/>
      <c r="F59" s="5"/>
      <c r="G59" s="5"/>
      <c r="H59" s="5"/>
    </row>
    <row r="60" spans="1:10" x14ac:dyDescent="0.2">
      <c r="C60" s="5"/>
      <c r="D60" s="5"/>
      <c r="E60" s="5"/>
      <c r="F60" s="5"/>
      <c r="G60" s="5"/>
      <c r="H60" s="5"/>
    </row>
    <row r="61" spans="1:10" x14ac:dyDescent="0.2">
      <c r="C61" s="5"/>
      <c r="D61" s="5"/>
      <c r="E61" s="5"/>
      <c r="F61" s="5"/>
      <c r="G61" s="5"/>
      <c r="H61" s="5"/>
    </row>
    <row r="62" spans="1:10" x14ac:dyDescent="0.2">
      <c r="C62" s="5"/>
      <c r="D62" s="5"/>
      <c r="E62" s="5"/>
      <c r="F62" s="5"/>
      <c r="G62" s="5"/>
      <c r="H62" s="5"/>
    </row>
    <row r="63" spans="1:10" x14ac:dyDescent="0.2">
      <c r="C63" s="5"/>
      <c r="D63" s="5"/>
      <c r="E63" s="5"/>
      <c r="F63" s="5"/>
      <c r="G63" s="5"/>
      <c r="H63" s="5"/>
    </row>
    <row r="64" spans="1:10" x14ac:dyDescent="0.2">
      <c r="C64" s="5"/>
      <c r="D64" s="5"/>
      <c r="E64" s="5"/>
      <c r="F64" s="5"/>
      <c r="G64" s="5"/>
      <c r="H64" s="5"/>
    </row>
    <row r="65" spans="3:8" x14ac:dyDescent="0.2">
      <c r="C65" s="5"/>
      <c r="D65" s="5"/>
      <c r="E65" s="5"/>
      <c r="F65" s="5"/>
      <c r="G65" s="5"/>
      <c r="H65" s="5"/>
    </row>
    <row r="66" spans="3:8" x14ac:dyDescent="0.2">
      <c r="C66" s="5"/>
      <c r="D66" s="5"/>
      <c r="E66" s="5"/>
      <c r="F66" s="5"/>
      <c r="G66" s="5"/>
      <c r="H66" s="5"/>
    </row>
    <row r="67" spans="3:8" x14ac:dyDescent="0.2">
      <c r="C67" s="5"/>
      <c r="D67" s="5"/>
      <c r="E67" s="5"/>
      <c r="F67" s="5"/>
      <c r="G67" s="5"/>
      <c r="H67" s="5"/>
    </row>
    <row r="68" spans="3:8" x14ac:dyDescent="0.2">
      <c r="C68" s="5"/>
      <c r="D68" s="5"/>
      <c r="E68" s="5"/>
      <c r="F68" s="5"/>
      <c r="G68" s="5"/>
      <c r="H68" s="5"/>
    </row>
    <row r="69" spans="3:8" x14ac:dyDescent="0.2">
      <c r="C69" s="5"/>
      <c r="D69" s="5"/>
      <c r="E69" s="5"/>
      <c r="F69" s="5"/>
      <c r="G69" s="5"/>
      <c r="H69" s="5"/>
    </row>
    <row r="70" spans="3:8" x14ac:dyDescent="0.2">
      <c r="C70" s="5"/>
      <c r="D70" s="5"/>
      <c r="E70" s="5"/>
      <c r="F70" s="5"/>
      <c r="G70" s="5"/>
      <c r="H70" s="5"/>
    </row>
    <row r="71" spans="3:8" x14ac:dyDescent="0.2">
      <c r="C71" s="5"/>
      <c r="D71" s="5"/>
      <c r="E71" s="5"/>
      <c r="F71" s="5"/>
      <c r="G71" s="5"/>
      <c r="H71" s="5"/>
    </row>
    <row r="72" spans="3:8" x14ac:dyDescent="0.2">
      <c r="C72" s="5"/>
      <c r="D72" s="5"/>
      <c r="E72" s="5"/>
      <c r="F72" s="5"/>
      <c r="G72" s="5"/>
      <c r="H72" s="5"/>
    </row>
    <row r="73" spans="3:8" x14ac:dyDescent="0.2">
      <c r="C73" s="5"/>
      <c r="D73" s="5"/>
      <c r="E73" s="5"/>
      <c r="F73" s="5"/>
      <c r="G73" s="5"/>
      <c r="H73" s="5"/>
    </row>
    <row r="74" spans="3:8" x14ac:dyDescent="0.2">
      <c r="C74" s="5"/>
      <c r="D74" s="5"/>
      <c r="E74" s="5"/>
      <c r="F74" s="5"/>
      <c r="G74" s="5"/>
      <c r="H74" s="5"/>
    </row>
    <row r="75" spans="3:8" x14ac:dyDescent="0.2">
      <c r="C75" s="5"/>
      <c r="D75" s="5"/>
      <c r="E75" s="5"/>
      <c r="F75" s="5"/>
      <c r="G75" s="5"/>
      <c r="H75" s="5"/>
    </row>
    <row r="76" spans="3:8" x14ac:dyDescent="0.2">
      <c r="C76" s="5"/>
      <c r="D76" s="5"/>
      <c r="E76" s="5"/>
      <c r="F76" s="5"/>
      <c r="G76" s="5"/>
      <c r="H76" s="5"/>
    </row>
    <row r="77" spans="3:8" x14ac:dyDescent="0.2">
      <c r="C77" s="5"/>
      <c r="D77" s="5"/>
      <c r="E77" s="5"/>
      <c r="F77" s="5"/>
      <c r="G77" s="5"/>
      <c r="H77" s="5"/>
    </row>
    <row r="78" spans="3:8" x14ac:dyDescent="0.2">
      <c r="C78" s="5"/>
      <c r="D78" s="5"/>
      <c r="E78" s="5"/>
      <c r="F78" s="5"/>
      <c r="G78" s="5"/>
      <c r="H78" s="5"/>
    </row>
    <row r="79" spans="3:8" x14ac:dyDescent="0.2">
      <c r="C79" s="5"/>
      <c r="D79" s="5"/>
      <c r="E79" s="5"/>
      <c r="F79" s="5"/>
      <c r="G79" s="5"/>
      <c r="H79" s="5"/>
    </row>
    <row r="80" spans="3:8" x14ac:dyDescent="0.2">
      <c r="C80" s="5"/>
      <c r="D80" s="5"/>
      <c r="E80" s="5"/>
      <c r="F80" s="5"/>
      <c r="G80" s="5"/>
      <c r="H80" s="5"/>
    </row>
    <row r="81" spans="3:8" x14ac:dyDescent="0.2">
      <c r="C81" s="5"/>
      <c r="D81" s="5"/>
      <c r="E81" s="5"/>
      <c r="F81" s="5"/>
      <c r="G81" s="5"/>
      <c r="H81" s="5"/>
    </row>
    <row r="82" spans="3:8" x14ac:dyDescent="0.2">
      <c r="C82" s="5"/>
      <c r="D82" s="5"/>
      <c r="E82" s="5"/>
      <c r="F82" s="5"/>
      <c r="G82" s="5"/>
      <c r="H82" s="5"/>
    </row>
    <row r="83" spans="3:8" x14ac:dyDescent="0.2">
      <c r="C83" s="5"/>
      <c r="D83" s="5"/>
      <c r="E83" s="5"/>
      <c r="F83" s="5"/>
      <c r="G83" s="5"/>
      <c r="H83" s="5"/>
    </row>
    <row r="84" spans="3:8" x14ac:dyDescent="0.2">
      <c r="C84" s="5"/>
      <c r="D84" s="5"/>
      <c r="E84" s="5"/>
      <c r="F84" s="5"/>
      <c r="G84" s="5"/>
      <c r="H84" s="5"/>
    </row>
    <row r="85" spans="3:8" x14ac:dyDescent="0.2">
      <c r="C85" s="5"/>
      <c r="D85" s="5"/>
      <c r="E85" s="5"/>
      <c r="F85" s="5"/>
      <c r="G85" s="5"/>
      <c r="H85" s="5"/>
    </row>
    <row r="86" spans="3:8" x14ac:dyDescent="0.2">
      <c r="C86" s="5"/>
      <c r="D86" s="5"/>
      <c r="E86" s="5"/>
      <c r="F86" s="5"/>
      <c r="G86" s="5"/>
      <c r="H86" s="5"/>
    </row>
    <row r="87" spans="3:8" x14ac:dyDescent="0.2">
      <c r="C87" s="5"/>
      <c r="D87" s="5"/>
      <c r="E87" s="5"/>
      <c r="F87" s="5"/>
      <c r="G87" s="5"/>
      <c r="H87" s="5"/>
    </row>
    <row r="88" spans="3:8" x14ac:dyDescent="0.2">
      <c r="C88" s="5"/>
      <c r="D88" s="5"/>
      <c r="E88" s="5"/>
      <c r="F88" s="5"/>
      <c r="G88" s="5"/>
      <c r="H88" s="5"/>
    </row>
    <row r="89" spans="3:8" x14ac:dyDescent="0.2">
      <c r="C89" s="5"/>
      <c r="D89" s="5"/>
      <c r="E89" s="5"/>
      <c r="F89" s="5"/>
      <c r="G89" s="5"/>
      <c r="H89" s="5"/>
    </row>
    <row r="90" spans="3:8" x14ac:dyDescent="0.2">
      <c r="C90" s="5"/>
      <c r="D90" s="5"/>
      <c r="E90" s="5"/>
      <c r="F90" s="5"/>
      <c r="G90" s="5"/>
      <c r="H90" s="5"/>
    </row>
    <row r="91" spans="3:8" x14ac:dyDescent="0.2">
      <c r="C91" s="5"/>
      <c r="D91" s="5"/>
      <c r="E91" s="5"/>
      <c r="F91" s="5"/>
      <c r="G91" s="5"/>
      <c r="H91" s="5"/>
    </row>
    <row r="92" spans="3:8" x14ac:dyDescent="0.2">
      <c r="C92" s="5"/>
      <c r="D92" s="5"/>
      <c r="E92" s="5"/>
      <c r="F92" s="5"/>
      <c r="G92" s="5"/>
      <c r="H92" s="5"/>
    </row>
    <row r="93" spans="3:8" x14ac:dyDescent="0.2">
      <c r="C93" s="5"/>
      <c r="D93" s="5"/>
      <c r="E93" s="5"/>
      <c r="F93" s="5"/>
      <c r="G93" s="5"/>
      <c r="H93" s="5"/>
    </row>
    <row r="94" spans="3:8" x14ac:dyDescent="0.2">
      <c r="C94" s="5"/>
      <c r="D94" s="5"/>
      <c r="E94" s="5"/>
      <c r="F94" s="5"/>
      <c r="G94" s="5"/>
      <c r="H94" s="5"/>
    </row>
    <row r="95" spans="3:8" x14ac:dyDescent="0.2">
      <c r="C95" s="5"/>
      <c r="D95" s="5"/>
      <c r="E95" s="5"/>
      <c r="F95" s="5"/>
      <c r="G95" s="5"/>
      <c r="H95" s="5"/>
    </row>
    <row r="96" spans="3:8" x14ac:dyDescent="0.2">
      <c r="C96" s="5"/>
      <c r="D96" s="5"/>
      <c r="E96" s="5"/>
      <c r="F96" s="5"/>
      <c r="G96" s="5"/>
      <c r="H96" s="5"/>
    </row>
    <row r="97" spans="3:8" x14ac:dyDescent="0.2">
      <c r="C97" s="5"/>
      <c r="D97" s="5"/>
      <c r="E97" s="5"/>
      <c r="F97" s="5"/>
      <c r="G97" s="5"/>
      <c r="H97" s="5"/>
    </row>
    <row r="98" spans="3:8" x14ac:dyDescent="0.2">
      <c r="C98" s="5"/>
      <c r="D98" s="5"/>
      <c r="E98" s="5"/>
      <c r="F98" s="5"/>
      <c r="G98" s="5"/>
      <c r="H98" s="5"/>
    </row>
    <row r="99" spans="3:8" x14ac:dyDescent="0.2">
      <c r="C99" s="5"/>
      <c r="D99" s="5"/>
      <c r="E99" s="5"/>
      <c r="F99" s="5"/>
      <c r="G99" s="5"/>
      <c r="H99" s="5"/>
    </row>
    <row r="100" spans="3:8" x14ac:dyDescent="0.2">
      <c r="C100" s="5"/>
      <c r="D100" s="5"/>
      <c r="E100" s="5"/>
      <c r="F100" s="5"/>
      <c r="G100" s="5"/>
      <c r="H100" s="5"/>
    </row>
    <row r="101" spans="3:8" x14ac:dyDescent="0.2">
      <c r="C101" s="5"/>
      <c r="D101" s="5"/>
      <c r="E101" s="5"/>
      <c r="F101" s="5"/>
      <c r="G101" s="5"/>
      <c r="H101" s="5"/>
    </row>
    <row r="102" spans="3:8" x14ac:dyDescent="0.2">
      <c r="C102" s="5"/>
      <c r="D102" s="5"/>
      <c r="E102" s="5"/>
      <c r="F102" s="5"/>
      <c r="G102" s="5"/>
      <c r="H102" s="5"/>
    </row>
    <row r="103" spans="3:8" x14ac:dyDescent="0.2">
      <c r="C103" s="5"/>
      <c r="D103" s="5"/>
      <c r="E103" s="5"/>
      <c r="F103" s="5"/>
      <c r="G103" s="5"/>
      <c r="H103" s="5"/>
    </row>
    <row r="104" spans="3:8" x14ac:dyDescent="0.2">
      <c r="C104" s="1"/>
      <c r="D104" s="1"/>
      <c r="E104" s="1"/>
    </row>
    <row r="105" spans="3:8" x14ac:dyDescent="0.2">
      <c r="C105" s="1"/>
      <c r="D105" s="1"/>
      <c r="E105" s="1"/>
    </row>
    <row r="106" spans="3:8" x14ac:dyDescent="0.2">
      <c r="C106" s="1"/>
      <c r="D106" s="1"/>
      <c r="E106" s="1"/>
    </row>
    <row r="107" spans="3:8" x14ac:dyDescent="0.2">
      <c r="C107" s="1"/>
      <c r="D107" s="1"/>
      <c r="E107" s="1"/>
    </row>
    <row r="108" spans="3:8" x14ac:dyDescent="0.2">
      <c r="C108" s="1"/>
      <c r="D108" s="1"/>
      <c r="E108" s="1"/>
    </row>
    <row r="109" spans="3:8" x14ac:dyDescent="0.2">
      <c r="C109" s="1"/>
      <c r="D109" s="1"/>
      <c r="E109" s="1"/>
    </row>
    <row r="110" spans="3:8" x14ac:dyDescent="0.2">
      <c r="C110" s="1"/>
      <c r="D110" s="1"/>
      <c r="E110" s="1"/>
    </row>
    <row r="111" spans="3:8" x14ac:dyDescent="0.2">
      <c r="C111" s="1"/>
      <c r="D111" s="1"/>
      <c r="E111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27</vt:i4>
      </vt:variant>
    </vt:vector>
  </HeadingPairs>
  <TitlesOfParts>
    <vt:vector size="29" baseType="lpstr">
      <vt:lpstr>tandem</vt:lpstr>
      <vt:lpstr>calc</vt:lpstr>
      <vt:lpstr>dP_dIm</vt:lpstr>
      <vt:lpstr>I0_1_mA</vt:lpstr>
      <vt:lpstr>I0_2_mA</vt:lpstr>
      <vt:lpstr>I1m_mA</vt:lpstr>
      <vt:lpstr>I2m_mA</vt:lpstr>
      <vt:lpstr>Ierror</vt:lpstr>
      <vt:lpstr>Im_mA</vt:lpstr>
      <vt:lpstr>Ip_1_mA</vt:lpstr>
      <vt:lpstr>Ip_2_mA</vt:lpstr>
      <vt:lpstr>Ip_mA</vt:lpstr>
      <vt:lpstr>Isc_mA</vt:lpstr>
      <vt:lpstr>kT_eV</vt:lpstr>
      <vt:lpstr>n_1</vt:lpstr>
      <vt:lpstr>n_2</vt:lpstr>
      <vt:lpstr>P1_mW</vt:lpstr>
      <vt:lpstr>P1m_mW</vt:lpstr>
      <vt:lpstr>P2m_mW</vt:lpstr>
      <vt:lpstr>Pm_mW</vt:lpstr>
      <vt:lpstr>SolveState</vt:lpstr>
      <vt:lpstr>u</vt:lpstr>
      <vt:lpstr>V1_V</vt:lpstr>
      <vt:lpstr>V1m_V</vt:lpstr>
      <vt:lpstr>V1oc_V</vt:lpstr>
      <vt:lpstr>V2_V</vt:lpstr>
      <vt:lpstr>V2m_V</vt:lpstr>
      <vt:lpstr>V2oc_V</vt:lpstr>
      <vt:lpstr>Voc_V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2024-03-14T17:59:30Z</dcterms:created>
  <dcterms:modified xsi:type="dcterms:W3CDTF">2024-03-29T16:52:58Z</dcterms:modified>
</cp:coreProperties>
</file>