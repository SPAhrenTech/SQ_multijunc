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SubcellDiv/"/>
    </mc:Choice>
  </mc:AlternateContent>
  <xr:revisionPtr revIDLastSave="0" documentId="13_ncr:1_{91666C77-0B4D-4446-91E1-F7571C0AAA53}" xr6:coauthVersionLast="47" xr6:coauthVersionMax="47" xr10:uidLastSave="{00000000-0000-0000-0000-000000000000}"/>
  <bookViews>
    <workbookView xWindow="1420" yWindow="-20460" windowWidth="25180" windowHeight="18060" xr2:uid="{F39901F2-9B9C-3F40-87C6-17C8C951FC81}"/>
  </bookViews>
  <sheets>
    <sheet name="tandem" sheetId="1" r:id="rId1"/>
    <sheet name="calc" sheetId="4" r:id="rId2"/>
  </sheets>
  <definedNames>
    <definedName name="A1_coef">tandem!$F$44</definedName>
    <definedName name="A2_coef">tandem!$F$45</definedName>
    <definedName name="B_coef">tandem!$F$46</definedName>
    <definedName name="confirm_each">tandem!$E$23</definedName>
    <definedName name="dP_dIm">tandem!$C$42</definedName>
    <definedName name="I0_1_mA">tandem!$C$8</definedName>
    <definedName name="I0_2_mA">tandem!$C$15</definedName>
    <definedName name="I1m_mA">tandem!$F$8</definedName>
    <definedName name="I2m_mA">tandem!$F$15</definedName>
    <definedName name="Ierror">tandem!$F$31</definedName>
    <definedName name="Im_mA">tandem!$C$22</definedName>
    <definedName name="Ip_1_mA">tandem!$C$9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tandem!$C$7</definedName>
    <definedName name="n_2">tandem!$C$14</definedName>
    <definedName name="P1_mW">tandem!$C$11</definedName>
    <definedName name="P1m_mW">tandem!$F$9</definedName>
    <definedName name="P2m_mW">tandem!$F$16</definedName>
    <definedName name="Pm_mW">tandem!$C$23</definedName>
    <definedName name="r_1">tandem!$C$45</definedName>
    <definedName name="r_2">tandem!$C$46</definedName>
    <definedName name="solver_adj" localSheetId="0" hidden="1">tandem!$F$15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tandem!$F$16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tandem!$C$10</definedName>
    <definedName name="V1m_V">tandem!$F$7</definedName>
    <definedName name="V1oc_V">tandem!$F$10</definedName>
    <definedName name="V2_V">tandem!$C$17</definedName>
    <definedName name="V2m_V">tandem!$F$14</definedName>
    <definedName name="V2oc_V">tandem!$F$17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C5" i="4"/>
  <c r="D5" i="4" s="1"/>
  <c r="C6" i="4"/>
  <c r="E6" i="4" s="1"/>
  <c r="C7" i="4"/>
  <c r="D7" i="4" s="1"/>
  <c r="C8" i="4"/>
  <c r="C9" i="4"/>
  <c r="D9" i="4" s="1"/>
  <c r="C10" i="4"/>
  <c r="D10" i="4" s="1"/>
  <c r="C11" i="4"/>
  <c r="D11" i="4" s="1"/>
  <c r="C12" i="4"/>
  <c r="C13" i="4"/>
  <c r="D13" i="4" s="1"/>
  <c r="C14" i="4"/>
  <c r="E14" i="4" s="1"/>
  <c r="C15" i="4"/>
  <c r="D15" i="4" s="1"/>
  <c r="C16" i="4"/>
  <c r="C17" i="4"/>
  <c r="D17" i="4" s="1"/>
  <c r="C18" i="4"/>
  <c r="E18" i="4" s="1"/>
  <c r="C19" i="4"/>
  <c r="E19" i="4" s="1"/>
  <c r="C20" i="4"/>
  <c r="C21" i="4"/>
  <c r="D21" i="4" s="1"/>
  <c r="C22" i="4"/>
  <c r="E22" i="4" s="1"/>
  <c r="C23" i="4"/>
  <c r="D23" i="4" s="1"/>
  <c r="C24" i="4"/>
  <c r="E24" i="4" s="1"/>
  <c r="C25" i="4"/>
  <c r="D25" i="4" s="1"/>
  <c r="C26" i="4"/>
  <c r="D26" i="4" s="1"/>
  <c r="C27" i="4"/>
  <c r="D27" i="4" s="1"/>
  <c r="C28" i="4"/>
  <c r="E28" i="4" s="1"/>
  <c r="C29" i="4"/>
  <c r="D29" i="4" s="1"/>
  <c r="C30" i="4"/>
  <c r="D30" i="4" s="1"/>
  <c r="C31" i="4"/>
  <c r="D31" i="4" s="1"/>
  <c r="C32" i="4"/>
  <c r="E32" i="4" s="1"/>
  <c r="C33" i="4"/>
  <c r="D33" i="4" s="1"/>
  <c r="C34" i="4"/>
  <c r="E34" i="4" s="1"/>
  <c r="C35" i="4"/>
  <c r="E35" i="4" s="1"/>
  <c r="C36" i="4"/>
  <c r="C37" i="4"/>
  <c r="D37" i="4" s="1"/>
  <c r="C38" i="4"/>
  <c r="E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E44" i="4" s="1"/>
  <c r="C45" i="4"/>
  <c r="D45" i="4" s="1"/>
  <c r="C46" i="4"/>
  <c r="E46" i="4" s="1"/>
  <c r="C47" i="4"/>
  <c r="D47" i="4" s="1"/>
  <c r="C48" i="4"/>
  <c r="D48" i="4" s="1"/>
  <c r="C49" i="4"/>
  <c r="D49" i="4" s="1"/>
  <c r="C50" i="4"/>
  <c r="E50" i="4" s="1"/>
  <c r="C51" i="4"/>
  <c r="E51" i="4" s="1"/>
  <c r="C52" i="4"/>
  <c r="E52" i="4" s="1"/>
  <c r="C53" i="4"/>
  <c r="D53" i="4" s="1"/>
  <c r="C3" i="4"/>
  <c r="E3" i="4" s="1"/>
  <c r="D8" i="4"/>
  <c r="E8" i="4"/>
  <c r="D12" i="4"/>
  <c r="E12" i="4"/>
  <c r="D16" i="4"/>
  <c r="E16" i="4"/>
  <c r="D20" i="4"/>
  <c r="E20" i="4"/>
  <c r="D24" i="4"/>
  <c r="D28" i="4"/>
  <c r="D32" i="4"/>
  <c r="D36" i="4"/>
  <c r="E36" i="4"/>
  <c r="D44" i="4"/>
  <c r="E48" i="4"/>
  <c r="D52" i="4"/>
  <c r="E4" i="4"/>
  <c r="D4" i="4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E26" i="4" l="1"/>
  <c r="E30" i="4"/>
  <c r="E40" i="4"/>
  <c r="D34" i="4"/>
  <c r="D51" i="4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46" i="1" s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F45" i="1" l="1"/>
  <c r="F44" i="1"/>
  <c r="C52" i="1"/>
  <c r="C59" i="1"/>
  <c r="C60" i="1" s="1"/>
  <c r="C53" i="1" s="1"/>
  <c r="C5" i="1" l="1"/>
  <c r="C16" i="1" s="1"/>
  <c r="F14" i="1" l="1"/>
  <c r="F16" i="1" s="1"/>
  <c r="F29" i="1"/>
  <c r="C17" i="1"/>
  <c r="C18" i="1" s="1"/>
  <c r="J9" i="4"/>
  <c r="J25" i="4"/>
  <c r="J41" i="4"/>
  <c r="J38" i="4"/>
  <c r="J14" i="4"/>
  <c r="J46" i="4"/>
  <c r="J15" i="4"/>
  <c r="J31" i="4"/>
  <c r="J47" i="4"/>
  <c r="J50" i="4"/>
  <c r="J16" i="4"/>
  <c r="J32" i="4"/>
  <c r="J48" i="4"/>
  <c r="J13" i="4"/>
  <c r="J18" i="4"/>
  <c r="J35" i="4"/>
  <c r="J20" i="4"/>
  <c r="J17" i="4"/>
  <c r="J33" i="4"/>
  <c r="J49" i="4"/>
  <c r="J6" i="4"/>
  <c r="J22" i="4"/>
  <c r="J7" i="4"/>
  <c r="J23" i="4"/>
  <c r="J39" i="4"/>
  <c r="J26" i="4"/>
  <c r="J8" i="4"/>
  <c r="J24" i="4"/>
  <c r="J40" i="4"/>
  <c r="J21" i="4"/>
  <c r="J37" i="4"/>
  <c r="J53" i="4"/>
  <c r="J10" i="4"/>
  <c r="J30" i="4"/>
  <c r="J11" i="4"/>
  <c r="J43" i="4"/>
  <c r="J34" i="4"/>
  <c r="J28" i="4"/>
  <c r="J29" i="4"/>
  <c r="J42" i="4"/>
  <c r="J19" i="4"/>
  <c r="J4" i="4"/>
  <c r="J52" i="4"/>
  <c r="J5" i="4"/>
  <c r="J27" i="4"/>
  <c r="J12" i="4"/>
  <c r="J44" i="4"/>
  <c r="J45" i="4"/>
  <c r="J3" i="4"/>
  <c r="J51" i="4"/>
  <c r="J36" i="4"/>
  <c r="C9" i="1"/>
  <c r="F28" i="1" s="1"/>
  <c r="F17" i="1"/>
  <c r="F18" i="1"/>
  <c r="F31" i="1" l="1"/>
  <c r="C10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F11" i="1"/>
  <c r="F7" i="1"/>
  <c r="F9" i="1" s="1"/>
  <c r="F10" i="1"/>
  <c r="C26" i="1" l="1"/>
  <c r="C21" i="1"/>
  <c r="C23" i="1" s="1"/>
  <c r="C11" i="1"/>
</calcChain>
</file>

<file path=xl/sharedStrings.xml><?xml version="1.0" encoding="utf-8"?>
<sst xmlns="http://schemas.openxmlformats.org/spreadsheetml/2006/main" count="74" uniqueCount="63">
  <si>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</si>
  <si>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</si>
  <si>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</si>
  <si>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</si>
  <si>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</si>
  <si>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</si>
  <si>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</si>
  <si>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</si>
  <si>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</si>
  <si>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</si>
  <si>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</si>
  <si>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</si>
  <si>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</si>
  <si>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</si>
  <si>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</si>
  <si>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</si>
  <si>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</si>
  <si>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</si>
  <si>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</si>
  <si>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</si>
  <si>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Voc (V)</t>
  </si>
  <si>
    <t>I_1</t>
  </si>
  <si>
    <t>I_2</t>
  </si>
  <si>
    <t>Ierror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</si>
  <si>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</si>
  <si>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</si>
  <si>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</si>
  <si>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</si>
  <si>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</si>
  <si>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</si>
  <si>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</si>
  <si>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</si>
  <si>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</si>
  <si>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</si>
  <si>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</si>
  <si>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</si>
  <si>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</si>
  <si>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</si>
  <si>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</si>
  <si>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</si>
  <si>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</si>
  <si>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</si>
  <si>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</si>
  <si>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</si>
  <si>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</si>
  <si>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</si>
  <si>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</si>
  <si>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</si>
  <si>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</si>
  <si>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</si>
  <si>
    <t>A1</t>
  </si>
  <si>
    <t>A2</t>
  </si>
  <si>
    <t>B1</t>
  </si>
  <si>
    <t>B2</t>
  </si>
  <si>
    <t>r1</t>
  </si>
  <si>
    <t>r2</t>
  </si>
  <si>
    <t>total photocurrent</t>
  </si>
  <si>
    <t>thermal energy</t>
  </si>
  <si>
    <t>cell-1 ideality</t>
  </si>
  <si>
    <t>cell-1 dark current</t>
  </si>
  <si>
    <t>cell-2 ideality</t>
  </si>
  <si>
    <t>cell-2 dark current</t>
  </si>
  <si>
    <t>max. power point: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</si>
</sst>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165" fontId="1" fillId="0" borderId="0" xfId="0" applyNumberFormat="1" applyFont="1"/>
    <xf numFmtId="0" fontId="0" fillId="2" borderId="0" xfId="0" applyFill="1"/>
    <xf numFmtId="0" fontId="0" fillId="3" borderId="0" xfId="0" applyFill="1"/>
    <xf numFmtId="0" fontId="0" fillId="4" borderId="0" xfId="0" applyFill="1"/>
    <xf numFmtId="11" fontId="0" fillId="5" borderId="0" xfId="0" applyNumberFormat="1" applyFill="1"/>
    <xf numFmtId="0" fontId="0" fillId="0" borderId="1" xfId="0" applyBorder="1"/>
    <xf numFmtId="11" fontId="0" fillId="0" borderId="1" xfId="0" applyNumberFormat="1" applyBorder="1"/>
    <xf numFmtId="0" fontId="0" fillId="0" borderId="2" xfId="0" applyBorder="1"/>
    <xf numFmtId="0" fontId="0" fillId="0" borderId="3" xfId="0" applyBorder="1"/>
    <xf numFmtId="165" fontId="0" fillId="0" borderId="4" xfId="0" applyNumberFormat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11" fontId="0" fillId="0" borderId="8" xfId="0" applyNumberFormat="1" applyBorder="1"/>
    <xf numFmtId="0" fontId="0" fillId="0" borderId="9" xfId="0" applyBorder="1"/>
    <xf numFmtId="0" fontId="0" fillId="0" borderId="10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1.894810430160768</c:v>
                </c:pt>
                <c:pt idx="2">
                  <c:v>1.9133339190867262</c:v>
                </c:pt>
                <c:pt idx="3">
                  <c:v>1.9244116731569942</c:v>
                </c:pt>
                <c:pt idx="4">
                  <c:v>1.9324441116951094</c:v>
                </c:pt>
                <c:pt idx="5">
                  <c:v>1.9388103013794618</c:v>
                </c:pt>
                <c:pt idx="6">
                  <c:v>1.9441245334625132</c:v>
                </c:pt>
                <c:pt idx="7">
                  <c:v>1.948714504541655</c:v>
                </c:pt>
                <c:pt idx="8">
                  <c:v>1.9527758328632561</c:v>
                </c:pt>
                <c:pt idx="9">
                  <c:v>1.9564347069897647</c:v>
                </c:pt>
                <c:pt idx="10">
                  <c:v>1.9597772969452543</c:v>
                </c:pt>
                <c:pt idx="11">
                  <c:v>1.9628650725022947</c:v>
                </c:pt>
                <c:pt idx="12">
                  <c:v>1.9657434279061123</c:v>
                </c:pt>
                <c:pt idx="13">
                  <c:v>1.9684468424700221</c:v>
                </c:pt>
                <c:pt idx="14">
                  <c:v>1.9710021232313475</c:v>
                </c:pt>
                <c:pt idx="15">
                  <c:v>1.9734305261614709</c:v>
                </c:pt>
                <c:pt idx="16">
                  <c:v>1.9757491913796765</c:v>
                </c:pt>
                <c:pt idx="17">
                  <c:v>1.9779721424920527</c:v>
                </c:pt>
                <c:pt idx="18">
                  <c:v>1.9801109998486406</c:v>
                </c:pt>
                <c:pt idx="19">
                  <c:v>1.9821755006941975</c:v>
                </c:pt>
                <c:pt idx="20">
                  <c:v>1.984173885739394</c:v>
                </c:pt>
                <c:pt idx="21">
                  <c:v>1.9861131913134666</c:v>
                </c:pt>
                <c:pt idx="22">
                  <c:v>1.9879994734869322</c:v>
                </c:pt>
                <c:pt idx="23">
                  <c:v>1.9898379823302024</c:v>
                </c:pt>
                <c:pt idx="24">
                  <c:v>1.9916332990550782</c:v>
                </c:pt>
                <c:pt idx="25">
                  <c:v>1.9933894451393281</c:v>
                </c:pt>
                <c:pt idx="26">
                  <c:v>1.995109970033474</c:v>
                </c:pt>
                <c:pt idx="27">
                  <c:v>1.9967980223038198</c:v>
                </c:pt>
                <c:pt idx="28">
                  <c:v>1.9984564078289369</c:v>
                </c:pt>
                <c:pt idx="29">
                  <c:v>2.0000876377775398</c:v>
                </c:pt>
                <c:pt idx="30">
                  <c:v>2.0016939684478254</c:v>
                </c:pt>
                <c:pt idx="31">
                  <c:v>2.0032774345705615</c:v>
                </c:pt>
                <c:pt idx="32">
                  <c:v>2.0048398773218912</c:v>
                </c:pt>
                <c:pt idx="33">
                  <c:v>2.0063829680232566</c:v>
                </c:pt>
                <c:pt idx="34">
                  <c:v>2.0079082283014853</c:v>
                </c:pt>
                <c:pt idx="35">
                  <c:v>2.0094170473251416</c:v>
                </c:pt>
                <c:pt idx="36">
                  <c:v>2.0109106966116794</c:v>
                </c:pt>
                <c:pt idx="37">
                  <c:v>2.0123903428050478</c:v>
                </c:pt>
                <c:pt idx="38">
                  <c:v>2.0138570587487634</c:v>
                </c:pt>
                <c:pt idx="39">
                  <c:v>2.0153118331203297</c:v>
                </c:pt>
                <c:pt idx="40">
                  <c:v>2.0167555788457587</c:v>
                </c:pt>
                <c:pt idx="41">
                  <c:v>2.0181891404751107</c:v>
                </c:pt>
                <c:pt idx="42">
                  <c:v>2.0196133006694565</c:v>
                </c:pt>
                <c:pt idx="43">
                  <c:v>2.0210287859248579</c:v>
                </c:pt>
                <c:pt idx="44">
                  <c:v>2.022436271638774</c:v>
                </c:pt>
                <c:pt idx="45">
                  <c:v>2.0238363866076883</c:v>
                </c:pt>
                <c:pt idx="46">
                  <c:v>2.0252297170310949</c:v>
                </c:pt>
                <c:pt idx="47">
                  <c:v>2.0266168100856716</c:v>
                </c:pt>
                <c:pt idx="48">
                  <c:v>2.0279981771240472</c:v>
                </c:pt>
                <c:pt idx="49">
                  <c:v>2.0293742965447121</c:v>
                </c:pt>
                <c:pt idx="50">
                  <c:v>2.0307456163730588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0.50225427748775409</c:v>
                </c:pt>
                <c:pt idx="1">
                  <c:v>0.49634941993099241</c:v>
                </c:pt>
                <c:pt idx="2">
                  <c:v>0.49032527633891698</c:v>
                </c:pt>
                <c:pt idx="3">
                  <c:v>0.48417943697376808</c:v>
                </c:pt>
                <c:pt idx="4">
                  <c:v>0.47790944341785396</c:v>
                </c:pt>
                <c:pt idx="5">
                  <c:v>0.47151278759015125</c:v>
                </c:pt>
                <c:pt idx="6">
                  <c:v>0.46498691074303905</c:v>
                </c:pt>
                <c:pt idx="7">
                  <c:v>0.45832920243876557</c:v>
                </c:pt>
                <c:pt idx="8">
                  <c:v>0.45153699950523846</c:v>
                </c:pt>
                <c:pt idx="9">
                  <c:v>0.4446075849707205</c:v>
                </c:pt>
                <c:pt idx="10">
                  <c:v>0.43753818697700436</c:v>
                </c:pt>
                <c:pt idx="11">
                  <c:v>0.4303259776706328</c:v>
                </c:pt>
                <c:pt idx="12">
                  <c:v>0.42296807207171894</c:v>
                </c:pt>
                <c:pt idx="13">
                  <c:v>0.41546152691991672</c:v>
                </c:pt>
                <c:pt idx="14">
                  <c:v>0.40780333949707681</c:v>
                </c:pt>
                <c:pt idx="15">
                  <c:v>0.39999044642611936</c:v>
                </c:pt>
                <c:pt idx="16">
                  <c:v>0.39201972244564287</c:v>
                </c:pt>
                <c:pt idx="17">
                  <c:v>0.38388797915977735</c:v>
                </c:pt>
                <c:pt idx="18">
                  <c:v>0.37559196376278386</c:v>
                </c:pt>
                <c:pt idx="19">
                  <c:v>0.36712835773788838</c:v>
                </c:pt>
                <c:pt idx="20">
                  <c:v>0.35849377552983153</c:v>
                </c:pt>
                <c:pt idx="21">
                  <c:v>0.34968476319060082</c:v>
                </c:pt>
                <c:pt idx="22">
                  <c:v>0.34069779699780528</c:v>
                </c:pt>
                <c:pt idx="23">
                  <c:v>0.33152928204514021</c:v>
                </c:pt>
                <c:pt idx="24">
                  <c:v>0.32217555080437588</c:v>
                </c:pt>
                <c:pt idx="25">
                  <c:v>0.31263286165829807</c:v>
                </c:pt>
                <c:pt idx="26">
                  <c:v>0.30289739740401067</c:v>
                </c:pt>
                <c:pt idx="27">
                  <c:v>0.29296526372600407</c:v>
                </c:pt>
                <c:pt idx="28">
                  <c:v>0.28283248763837687</c:v>
                </c:pt>
                <c:pt idx="29">
                  <c:v>0.27249501589558861</c:v>
                </c:pt>
                <c:pt idx="30">
                  <c:v>0.26194871337110726</c:v>
                </c:pt>
                <c:pt idx="31">
                  <c:v>0.25118936140330383</c:v>
                </c:pt>
                <c:pt idx="32">
                  <c:v>0.24021265610793122</c:v>
                </c:pt>
                <c:pt idx="33">
                  <c:v>0.22901420665651329</c:v>
                </c:pt>
                <c:pt idx="34">
                  <c:v>0.21758953351995486</c:v>
                </c:pt>
                <c:pt idx="35">
                  <c:v>0.2059340666766703</c:v>
                </c:pt>
                <c:pt idx="36">
                  <c:v>0.19404314378451398</c:v>
                </c:pt>
                <c:pt idx="37">
                  <c:v>0.18191200831578128</c:v>
                </c:pt>
                <c:pt idx="38">
                  <c:v>0.16953580765453405</c:v>
                </c:pt>
                <c:pt idx="39">
                  <c:v>0.15690959115548955</c:v>
                </c:pt>
                <c:pt idx="40">
                  <c:v>0.14402830816369633</c:v>
                </c:pt>
                <c:pt idx="41">
                  <c:v>0.13088680599420516</c:v>
                </c:pt>
                <c:pt idx="42">
                  <c:v>0.1174798278709259</c:v>
                </c:pt>
                <c:pt idx="43">
                  <c:v>0.10380201082384682</c:v>
                </c:pt>
                <c:pt idx="44">
                  <c:v>8.9847883543775944E-2</c:v>
                </c:pt>
                <c:pt idx="45">
                  <c:v>7.5611864193743633E-2</c:v>
                </c:pt>
                <c:pt idx="46">
                  <c:v>6.1088258176193955E-2</c:v>
                </c:pt>
                <c:pt idx="47">
                  <c:v>4.6271255855069103E-2</c:v>
                </c:pt>
                <c:pt idx="48">
                  <c:v>3.1154930231878073E-2</c:v>
                </c:pt>
                <c:pt idx="49">
                  <c:v>1.57332345748178E-2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1.1570670724716656E-2</c:v>
                </c:pt>
                <c:pt idx="2">
                  <c:v>2.3141341449433313E-2</c:v>
                </c:pt>
                <c:pt idx="3">
                  <c:v>3.4712012174149966E-2</c:v>
                </c:pt>
                <c:pt idx="4">
                  <c:v>4.6282682898866626E-2</c:v>
                </c:pt>
                <c:pt idx="5">
                  <c:v>5.7853353623583285E-2</c:v>
                </c:pt>
                <c:pt idx="6">
                  <c:v>6.9424024348299931E-2</c:v>
                </c:pt>
                <c:pt idx="7">
                  <c:v>8.0994695073016598E-2</c:v>
                </c:pt>
                <c:pt idx="8">
                  <c:v>9.2565365797733251E-2</c:v>
                </c:pt>
                <c:pt idx="9">
                  <c:v>0.1041360365224499</c:v>
                </c:pt>
                <c:pt idx="10">
                  <c:v>0.11570670724716657</c:v>
                </c:pt>
                <c:pt idx="11">
                  <c:v>0.12727737797188321</c:v>
                </c:pt>
                <c:pt idx="12">
                  <c:v>0.13884804869659986</c:v>
                </c:pt>
                <c:pt idx="13">
                  <c:v>0.15041871942131654</c:v>
                </c:pt>
                <c:pt idx="14">
                  <c:v>0.1619893901460332</c:v>
                </c:pt>
                <c:pt idx="15">
                  <c:v>0.17356006087074985</c:v>
                </c:pt>
                <c:pt idx="16">
                  <c:v>0.1851307315954665</c:v>
                </c:pt>
                <c:pt idx="17">
                  <c:v>0.19670140232018318</c:v>
                </c:pt>
                <c:pt idx="18">
                  <c:v>0.20827207304489981</c:v>
                </c:pt>
                <c:pt idx="19">
                  <c:v>0.21984274376961646</c:v>
                </c:pt>
                <c:pt idx="20">
                  <c:v>0.23141341449433314</c:v>
                </c:pt>
                <c:pt idx="21">
                  <c:v>0.24298408521904977</c:v>
                </c:pt>
                <c:pt idx="22">
                  <c:v>0.25455475594376642</c:v>
                </c:pt>
                <c:pt idx="23">
                  <c:v>0.2661254266684831</c:v>
                </c:pt>
                <c:pt idx="24">
                  <c:v>0.27769609739319973</c:v>
                </c:pt>
                <c:pt idx="25">
                  <c:v>0.28926676811791641</c:v>
                </c:pt>
                <c:pt idx="26">
                  <c:v>0.30083743884263309</c:v>
                </c:pt>
                <c:pt idx="27">
                  <c:v>0.31240810956734971</c:v>
                </c:pt>
                <c:pt idx="28">
                  <c:v>0.32397878029206639</c:v>
                </c:pt>
                <c:pt idx="29">
                  <c:v>0.33554945101678302</c:v>
                </c:pt>
                <c:pt idx="30">
                  <c:v>0.3471201217414997</c:v>
                </c:pt>
                <c:pt idx="31">
                  <c:v>0.35869079246621632</c:v>
                </c:pt>
                <c:pt idx="32">
                  <c:v>0.370261463190933</c:v>
                </c:pt>
                <c:pt idx="33">
                  <c:v>0.38183213391564969</c:v>
                </c:pt>
                <c:pt idx="34">
                  <c:v>0.39340280464036637</c:v>
                </c:pt>
                <c:pt idx="35">
                  <c:v>0.40497347536508299</c:v>
                </c:pt>
                <c:pt idx="36">
                  <c:v>0.41654414608979962</c:v>
                </c:pt>
                <c:pt idx="37">
                  <c:v>0.4281148168145163</c:v>
                </c:pt>
                <c:pt idx="38">
                  <c:v>0.43968548753923292</c:v>
                </c:pt>
                <c:pt idx="39">
                  <c:v>0.4512561582639496</c:v>
                </c:pt>
                <c:pt idx="40">
                  <c:v>0.46282682898866628</c:v>
                </c:pt>
                <c:pt idx="41">
                  <c:v>0.47439749971338296</c:v>
                </c:pt>
                <c:pt idx="42">
                  <c:v>0.48596817043809953</c:v>
                </c:pt>
                <c:pt idx="43">
                  <c:v>0.49753884116281621</c:v>
                </c:pt>
                <c:pt idx="44">
                  <c:v>0.50910951188753284</c:v>
                </c:pt>
                <c:pt idx="45">
                  <c:v>0.52068018261224958</c:v>
                </c:pt>
                <c:pt idx="46">
                  <c:v>0.5322508533369662</c:v>
                </c:pt>
                <c:pt idx="47">
                  <c:v>0.54382152406168283</c:v>
                </c:pt>
                <c:pt idx="48">
                  <c:v>0.55539219478639945</c:v>
                </c:pt>
                <c:pt idx="49">
                  <c:v>0.56696286551111619</c:v>
                </c:pt>
                <c:pt idx="50">
                  <c:v>0.57853353623583281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0.50225427738775408</c:v>
                </c:pt>
                <c:pt idx="1">
                  <c:v>0.50225427733143269</c:v>
                </c:pt>
                <c:pt idx="2">
                  <c:v>0.50225427724339022</c:v>
                </c:pt>
                <c:pt idx="3">
                  <c:v>0.50225427710576109</c:v>
                </c:pt>
                <c:pt idx="4">
                  <c:v>0.50225427689061719</c:v>
                </c:pt>
                <c:pt idx="5">
                  <c:v>0.50225427655430133</c:v>
                </c:pt>
                <c:pt idx="6">
                  <c:v>0.50225427602856743</c:v>
                </c:pt>
                <c:pt idx="7">
                  <c:v>0.50225427520673294</c:v>
                </c:pt>
                <c:pt idx="8">
                  <c:v>0.50225427392202959</c:v>
                </c:pt>
                <c:pt idx="9">
                  <c:v>0.50225427191376315</c:v>
                </c:pt>
                <c:pt idx="10">
                  <c:v>0.5022542687744127</c:v>
                </c:pt>
                <c:pt idx="11">
                  <c:v>0.50225426386693572</c:v>
                </c:pt>
                <c:pt idx="12">
                  <c:v>0.50225425619549835</c:v>
                </c:pt>
                <c:pt idx="13">
                  <c:v>0.50225424420339893</c:v>
                </c:pt>
                <c:pt idx="14">
                  <c:v>0.50225422545717968</c:v>
                </c:pt>
                <c:pt idx="15">
                  <c:v>0.50225419615282485</c:v>
                </c:pt>
                <c:pt idx="16">
                  <c:v>0.50225415034384313</c:v>
                </c:pt>
                <c:pt idx="17">
                  <c:v>0.5022540787345956</c:v>
                </c:pt>
                <c:pt idx="18">
                  <c:v>0.50225396679400769</c:v>
                </c:pt>
                <c:pt idx="19">
                  <c:v>0.50225379180689866</c:v>
                </c:pt>
                <c:pt idx="20">
                  <c:v>0.50225351826457665</c:v>
                </c:pt>
                <c:pt idx="21">
                  <c:v>0.50225309065935297</c:v>
                </c:pt>
                <c:pt idx="22">
                  <c:v>0.50225242222082389</c:v>
                </c:pt>
                <c:pt idx="23">
                  <c:v>0.50225137730826808</c:v>
                </c:pt>
                <c:pt idx="24">
                  <c:v>0.50224974388619292</c:v>
                </c:pt>
                <c:pt idx="25">
                  <c:v>0.5022471904977196</c:v>
                </c:pt>
                <c:pt idx="26">
                  <c:v>0.50224319900477077</c:v>
                </c:pt>
                <c:pt idx="27">
                  <c:v>0.50223695944658076</c:v>
                </c:pt>
                <c:pt idx="28">
                  <c:v>0.50222720568103363</c:v>
                </c:pt>
                <c:pt idx="29">
                  <c:v>0.50221195845687905</c:v>
                </c:pt>
                <c:pt idx="30">
                  <c:v>0.50218812378058941</c:v>
                </c:pt>
                <c:pt idx="31">
                  <c:v>0.50215086507775464</c:v>
                </c:pt>
                <c:pt idx="32">
                  <c:v>0.50209262174690072</c:v>
                </c:pt>
                <c:pt idx="33">
                  <c:v>0.5020015749489487</c:v>
                </c:pt>
                <c:pt idx="34">
                  <c:v>0.50185924930761294</c:v>
                </c:pt>
                <c:pt idx="35">
                  <c:v>0.50163676385356848</c:v>
                </c:pt>
                <c:pt idx="36">
                  <c:v>0.50128897144738782</c:v>
                </c:pt>
                <c:pt idx="37">
                  <c:v>0.50074529744264706</c:v>
                </c:pt>
                <c:pt idx="38">
                  <c:v>0.499895418554615</c:v>
                </c:pt>
                <c:pt idx="39">
                  <c:v>0.49856687586538506</c:v>
                </c:pt>
                <c:pt idx="40">
                  <c:v>0.49649007915709953</c:v>
                </c:pt>
                <c:pt idx="41">
                  <c:v>0.49324360119104671</c:v>
                </c:pt>
                <c:pt idx="42">
                  <c:v>0.48816866095158196</c:v>
                </c:pt>
                <c:pt idx="43">
                  <c:v>0.48023544264440432</c:v>
                </c:pt>
                <c:pt idx="44">
                  <c:v>0.46783412366533084</c:v>
                </c:pt>
                <c:pt idx="45">
                  <c:v>0.44844820656765227</c:v>
                </c:pt>
                <c:pt idx="46">
                  <c:v>0.41814386697666051</c:v>
                </c:pt>
                <c:pt idx="47">
                  <c:v>0.3707716950325155</c:v>
                </c:pt>
                <c:pt idx="48">
                  <c:v>0.29671884633183998</c:v>
                </c:pt>
                <c:pt idx="49">
                  <c:v>0.18095838664358482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2.9044241602744516E-2</c:v>
                </c:pt>
                <c:pt idx="2">
                  <c:v>5.8088483205489032E-2</c:v>
                </c:pt>
                <c:pt idx="3">
                  <c:v>8.7132724808233544E-2</c:v>
                </c:pt>
                <c:pt idx="4">
                  <c:v>0.11617696641097806</c:v>
                </c:pt>
                <c:pt idx="5">
                  <c:v>0.1452212080137226</c:v>
                </c:pt>
                <c:pt idx="6">
                  <c:v>0.17426544961646709</c:v>
                </c:pt>
                <c:pt idx="7">
                  <c:v>0.20330969121921164</c:v>
                </c:pt>
                <c:pt idx="8">
                  <c:v>0.23235393282195613</c:v>
                </c:pt>
                <c:pt idx="9">
                  <c:v>0.26139817442470065</c:v>
                </c:pt>
                <c:pt idx="10">
                  <c:v>0.29044241602744519</c:v>
                </c:pt>
                <c:pt idx="11">
                  <c:v>0.31948665763018969</c:v>
                </c:pt>
                <c:pt idx="12">
                  <c:v>0.34853089923293418</c:v>
                </c:pt>
                <c:pt idx="13">
                  <c:v>0.37757514083567872</c:v>
                </c:pt>
                <c:pt idx="14">
                  <c:v>0.40661938243842327</c:v>
                </c:pt>
                <c:pt idx="15">
                  <c:v>0.43566362404116771</c:v>
                </c:pt>
                <c:pt idx="16">
                  <c:v>0.46470786564391225</c:v>
                </c:pt>
                <c:pt idx="17">
                  <c:v>0.4937521072466568</c:v>
                </c:pt>
                <c:pt idx="18">
                  <c:v>0.52279634884940129</c:v>
                </c:pt>
                <c:pt idx="19">
                  <c:v>0.55184059045214584</c:v>
                </c:pt>
                <c:pt idx="20">
                  <c:v>0.58088483205489039</c:v>
                </c:pt>
                <c:pt idx="21">
                  <c:v>0.60992907365763482</c:v>
                </c:pt>
                <c:pt idx="22">
                  <c:v>0.63897331526037937</c:v>
                </c:pt>
                <c:pt idx="23">
                  <c:v>0.66801755686312392</c:v>
                </c:pt>
                <c:pt idx="24">
                  <c:v>0.69706179846586835</c:v>
                </c:pt>
                <c:pt idx="25">
                  <c:v>0.7261060400686129</c:v>
                </c:pt>
                <c:pt idx="26">
                  <c:v>0.75515028167135745</c:v>
                </c:pt>
                <c:pt idx="27">
                  <c:v>0.784194523274102</c:v>
                </c:pt>
                <c:pt idx="28">
                  <c:v>0.81323876487684654</c:v>
                </c:pt>
                <c:pt idx="29">
                  <c:v>0.84228300647959087</c:v>
                </c:pt>
                <c:pt idx="30">
                  <c:v>0.87132724808233541</c:v>
                </c:pt>
                <c:pt idx="31">
                  <c:v>0.90037148968507996</c:v>
                </c:pt>
                <c:pt idx="32">
                  <c:v>0.92941573128782451</c:v>
                </c:pt>
                <c:pt idx="33">
                  <c:v>0.95845997289056906</c:v>
                </c:pt>
                <c:pt idx="34">
                  <c:v>0.9875042144933136</c:v>
                </c:pt>
                <c:pt idx="35">
                  <c:v>1.0165484560960583</c:v>
                </c:pt>
                <c:pt idx="36">
                  <c:v>1.0455926976988026</c:v>
                </c:pt>
                <c:pt idx="37">
                  <c:v>1.0746369393015471</c:v>
                </c:pt>
                <c:pt idx="38">
                  <c:v>1.1036811809042917</c:v>
                </c:pt>
                <c:pt idx="39">
                  <c:v>1.1327254225070362</c:v>
                </c:pt>
                <c:pt idx="40">
                  <c:v>1.1617696641097808</c:v>
                </c:pt>
                <c:pt idx="41">
                  <c:v>1.1908139057125253</c:v>
                </c:pt>
                <c:pt idx="42">
                  <c:v>1.2198581473152696</c:v>
                </c:pt>
                <c:pt idx="43">
                  <c:v>1.2489023889180142</c:v>
                </c:pt>
                <c:pt idx="44">
                  <c:v>1.2779466305207587</c:v>
                </c:pt>
                <c:pt idx="45">
                  <c:v>1.3069908721235033</c:v>
                </c:pt>
                <c:pt idx="46">
                  <c:v>1.3360351137262478</c:v>
                </c:pt>
                <c:pt idx="47">
                  <c:v>1.3650793553289924</c:v>
                </c:pt>
                <c:pt idx="48">
                  <c:v>1.3941235969317367</c:v>
                </c:pt>
                <c:pt idx="49">
                  <c:v>1.4231678385344813</c:v>
                </c:pt>
                <c:pt idx="50">
                  <c:v>1.4522120801372258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1.4977457226122459</c:v>
                </c:pt>
                <c:pt idx="1">
                  <c:v>1.4977457226114941</c:v>
                </c:pt>
                <c:pt idx="2">
                  <c:v>1.4977457226101767</c:v>
                </c:pt>
                <c:pt idx="3">
                  <c:v>1.4977457226078692</c:v>
                </c:pt>
                <c:pt idx="4">
                  <c:v>1.4977457226038262</c:v>
                </c:pt>
                <c:pt idx="5">
                  <c:v>1.4977457225967437</c:v>
                </c:pt>
                <c:pt idx="6">
                  <c:v>1.4977457225843356</c:v>
                </c:pt>
                <c:pt idx="7">
                  <c:v>1.4977457225625981</c:v>
                </c:pt>
                <c:pt idx="8">
                  <c:v>1.4977457225245161</c:v>
                </c:pt>
                <c:pt idx="9">
                  <c:v>1.4977457224578001</c:v>
                </c:pt>
                <c:pt idx="10">
                  <c:v>1.497745722340921</c:v>
                </c:pt>
                <c:pt idx="11">
                  <c:v>1.4977457221361603</c:v>
                </c:pt>
                <c:pt idx="12">
                  <c:v>1.4977457217774406</c:v>
                </c:pt>
                <c:pt idx="13">
                  <c:v>1.4977457211490004</c:v>
                </c:pt>
                <c:pt idx="14">
                  <c:v>1.4977457200480375</c:v>
                </c:pt>
                <c:pt idx="15">
                  <c:v>1.4977457181192628</c:v>
                </c:pt>
                <c:pt idx="16">
                  <c:v>1.4977457147402471</c:v>
                </c:pt>
                <c:pt idx="17">
                  <c:v>1.4977457088205568</c:v>
                </c:pt>
                <c:pt idx="18">
                  <c:v>1.4977456984498643</c:v>
                </c:pt>
                <c:pt idx="19">
                  <c:v>1.4977456802814715</c:v>
                </c:pt>
                <c:pt idx="20">
                  <c:v>1.4977456484523044</c:v>
                </c:pt>
                <c:pt idx="21">
                  <c:v>1.4977455926908572</c:v>
                </c:pt>
                <c:pt idx="22">
                  <c:v>1.4977454950025018</c:v>
                </c:pt>
                <c:pt idx="23">
                  <c:v>1.4977453238624889</c:v>
                </c:pt>
                <c:pt idx="24">
                  <c:v>1.4977450240426808</c:v>
                </c:pt>
                <c:pt idx="25">
                  <c:v>1.4977444987890254</c:v>
                </c:pt>
                <c:pt idx="26">
                  <c:v>1.4977435785983135</c:v>
                </c:pt>
                <c:pt idx="27">
                  <c:v>1.4977419665182503</c:v>
                </c:pt>
                <c:pt idx="28">
                  <c:v>1.4977391423187696</c:v>
                </c:pt>
                <c:pt idx="29">
                  <c:v>1.4977341946099751</c:v>
                </c:pt>
                <c:pt idx="30">
                  <c:v>1.4977255267299328</c:v>
                </c:pt>
                <c:pt idx="31">
                  <c:v>1.4977103414901478</c:v>
                </c:pt>
                <c:pt idx="32">
                  <c:v>1.4976837385023123</c:v>
                </c:pt>
                <c:pt idx="33">
                  <c:v>1.4976371327870388</c:v>
                </c:pt>
                <c:pt idx="34">
                  <c:v>1.4975554843380159</c:v>
                </c:pt>
                <c:pt idx="35">
                  <c:v>1.4974124446016068</c:v>
                </c:pt>
                <c:pt idx="36">
                  <c:v>1.4971618536052465</c:v>
                </c:pt>
                <c:pt idx="37">
                  <c:v>1.4967228437955713</c:v>
                </c:pt>
                <c:pt idx="38">
                  <c:v>1.4959537434855434</c:v>
                </c:pt>
                <c:pt idx="39">
                  <c:v>1.4946063583614557</c:v>
                </c:pt>
                <c:pt idx="40">
                  <c:v>1.4922458773566476</c:v>
                </c:pt>
                <c:pt idx="41">
                  <c:v>1.4881105559296475</c:v>
                </c:pt>
                <c:pt idx="42">
                  <c:v>1.480865895510957</c:v>
                </c:pt>
                <c:pt idx="43">
                  <c:v>1.4681739910221163</c:v>
                </c:pt>
                <c:pt idx="44">
                  <c:v>1.4459390717513285</c:v>
                </c:pt>
                <c:pt idx="45">
                  <c:v>1.4069857660899803</c:v>
                </c:pt>
                <c:pt idx="46">
                  <c:v>1.338743556461635</c:v>
                </c:pt>
                <c:pt idx="47">
                  <c:v>1.2191901810576082</c:v>
                </c:pt>
                <c:pt idx="48">
                  <c:v>1.0097448883518543</c:v>
                </c:pt>
                <c:pt idx="49">
                  <c:v>0.64281814547779315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0.000000</c:formatCode>
                <c:ptCount val="1"/>
                <c:pt idx="0">
                  <c:v>1.9059358975737011</c:v>
                </c:pt>
              </c:numCache>
            </c:numRef>
          </c:xVal>
          <c:yVal>
            <c:numRef>
              <c:f>tandem!$C$22</c:f>
              <c:numCache>
                <c:formatCode>0.000000</c:formatCode>
                <c:ptCount val="1"/>
                <c:pt idx="0">
                  <c:v>0.49323716763773784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tandem!$F$7</c:f>
              <c:numCache>
                <c:formatCode>0.0000</c:formatCode>
                <c:ptCount val="1"/>
                <c:pt idx="0">
                  <c:v>0.5005264965122741</c:v>
                </c:pt>
              </c:numCache>
            </c:numRef>
          </c:xVal>
          <c:yVal>
            <c:numRef>
              <c:f>tandem!$F$8</c:f>
              <c:numCache>
                <c:formatCode>0.0000</c:formatCode>
                <c:ptCount val="1"/>
                <c:pt idx="0">
                  <c:v>0.47754319801456147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tandem!$F$14</c:f>
              <c:numCache>
                <c:formatCode>0.0000</c:formatCode>
                <c:ptCount val="1"/>
                <c:pt idx="0">
                  <c:v>1.2838724422256809</c:v>
                </c:pt>
              </c:numCache>
            </c:numRef>
          </c:xVal>
          <c:yVal>
            <c:numRef>
              <c:f>tandem!$F$15</c:f>
              <c:numCache>
                <c:formatCode>0.0000</c:formatCode>
                <c:ptCount val="1"/>
                <c:pt idx="0">
                  <c:v>1.4396602004013537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I (mA)</a:t>
                </a:r>
              </a:p>
              <a:p>
                <a:pPr>
                  <a:defRPr sz="1400"/>
                </a:pPr>
                <a:endParaRPr lang="en-US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E$2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26</xdr:row>
      <xdr:rowOff>152400</xdr:rowOff>
    </xdr:from>
    <xdr:to>
      <xdr:col>6</xdr:col>
      <xdr:colOff>368300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21</xdr:row>
          <xdr:rowOff>101600</xdr:rowOff>
        </xdr:from>
        <xdr:to>
          <xdr:col>5</xdr:col>
          <xdr:colOff>406400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21</xdr:row>
          <xdr:rowOff>139700</xdr:rowOff>
        </xdr:from>
        <xdr:to>
          <xdr:col>8</xdr:col>
          <xdr:colOff>50800</xdr:colOff>
          <xdr:row>23</xdr:row>
          <xdr:rowOff>114300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 progress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2"/>
  <sheetViews>
    <sheetView tabSelected="1" zoomScaleNormal="100" workbookViewId="0">
      <selection activeCell="L20" sqref="L20"/>
    </sheetView>
  </sheetViews>
  <sheetFormatPr baseColWidth="10" defaultRowHeight="16" x14ac:dyDescent="0.2"/>
  <cols>
    <col min="3" max="3" width="16" customWidth="1"/>
    <col min="8" max="8" width="3.6640625" customWidth="1"/>
    <col min="11" max="11" width="5" customWidth="1"/>
  </cols>
  <sheetData>
    <row r="1" spans="1:42" ht="17" thickBot="1" x14ac:dyDescent="0.25"/>
    <row r="2" spans="1:42" x14ac:dyDescent="0.2">
      <c r="I2" s="15" t="s">
        <v>49</v>
      </c>
      <c r="J2" s="16"/>
      <c r="K2" s="16"/>
      <c r="L2" s="16"/>
      <c r="M2" s="17"/>
    </row>
    <row r="3" spans="1:42" x14ac:dyDescent="0.2">
      <c r="B3" t="s">
        <v>0</v>
      </c>
      <c r="C3" s="9">
        <v>2</v>
      </c>
      <c r="I3" s="18" t="s">
        <v>0</v>
      </c>
      <c r="J3" s="13">
        <v>2</v>
      </c>
      <c r="K3" s="19"/>
      <c r="L3" s="19" t="s">
        <v>56</v>
      </c>
      <c r="M3" s="20"/>
    </row>
    <row r="4" spans="1:42" x14ac:dyDescent="0.2">
      <c r="B4" t="s">
        <v>1</v>
      </c>
      <c r="C4" s="11">
        <v>2.5899999999999999E-2</v>
      </c>
      <c r="I4" s="18" t="s">
        <v>1</v>
      </c>
      <c r="J4" s="13">
        <v>2.5899999999999999E-2</v>
      </c>
      <c r="K4" s="19"/>
      <c r="L4" s="19" t="s">
        <v>57</v>
      </c>
      <c r="M4" s="20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7">
        <f>tandem!C60</f>
        <v>0.74887286130612296</v>
      </c>
      <c r="I5" s="18" t="s">
        <v>9</v>
      </c>
      <c r="J5" s="13">
        <v>1</v>
      </c>
      <c r="K5" s="19"/>
      <c r="L5" s="19" t="s">
        <v>58</v>
      </c>
      <c r="M5" s="2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8" t="s">
        <v>6</v>
      </c>
      <c r="J6" s="14">
        <v>1E-10</v>
      </c>
      <c r="K6" s="19"/>
      <c r="L6" s="19" t="s">
        <v>59</v>
      </c>
      <c r="M6" s="20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27</v>
      </c>
      <c r="B7" t="s">
        <v>9</v>
      </c>
      <c r="C7" s="10">
        <v>1</v>
      </c>
      <c r="E7" t="s">
        <v>28</v>
      </c>
      <c r="F7" s="2">
        <f>C7*C4*LN((C9-F8)/C8+1)</f>
        <v>0.5005264965122741</v>
      </c>
      <c r="I7" s="18" t="s">
        <v>10</v>
      </c>
      <c r="J7" s="13">
        <v>2</v>
      </c>
      <c r="K7" s="19"/>
      <c r="L7" s="19" t="s">
        <v>60</v>
      </c>
      <c r="M7" s="20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ht="17" thickBot="1" x14ac:dyDescent="0.25">
      <c r="B8" t="s">
        <v>6</v>
      </c>
      <c r="C8" s="12">
        <v>1E-10</v>
      </c>
      <c r="E8" t="s">
        <v>29</v>
      </c>
      <c r="F8" s="2">
        <v>0.47754319801456147</v>
      </c>
      <c r="I8" s="21" t="s">
        <v>7</v>
      </c>
      <c r="J8" s="22">
        <v>9.9999999999999998E-13</v>
      </c>
      <c r="K8" s="23"/>
      <c r="L8" s="23" t="s">
        <v>61</v>
      </c>
      <c r="M8" s="24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2</v>
      </c>
      <c r="C9" s="7">
        <f>(1-C5)*C3</f>
        <v>0.50225427738775408</v>
      </c>
      <c r="E9" t="s">
        <v>30</v>
      </c>
      <c r="F9" s="2">
        <f>F7*F8</f>
        <v>0.23902302383549562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x14ac:dyDescent="0.2">
      <c r="B10" t="s">
        <v>4</v>
      </c>
      <c r="C10" s="7">
        <f>C7*C4*LN((C9-C22)/C8+1)</f>
        <v>0.47441598551484715</v>
      </c>
      <c r="E10" t="s">
        <v>37</v>
      </c>
      <c r="F10" s="2">
        <f>C7*C4*LN((C9-0)/C8+1)</f>
        <v>0.57853353623583281</v>
      </c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47</v>
      </c>
      <c r="C11" s="2">
        <f>C10*C22</f>
        <v>0.23399959697740927</v>
      </c>
      <c r="E11" t="s">
        <v>38</v>
      </c>
      <c r="F11" s="2">
        <f>C9</f>
        <v>0.50225427738775408</v>
      </c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C12" s="1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33</v>
      </c>
      <c r="B14" t="s">
        <v>10</v>
      </c>
      <c r="C14" s="10">
        <v>2</v>
      </c>
      <c r="E14" t="s">
        <v>32</v>
      </c>
      <c r="F14" s="2">
        <f>C14*C4*LN((C16-F15)/C15+1)</f>
        <v>1.2838724422256809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12">
        <v>9.9999999999999998E-13</v>
      </c>
      <c r="E15" t="s">
        <v>34</v>
      </c>
      <c r="F15" s="2">
        <v>1.4396602004013537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7">
        <f>C5*C3</f>
        <v>1.4977457226122459</v>
      </c>
      <c r="E16" t="s">
        <v>35</v>
      </c>
      <c r="F16" s="2">
        <f>F14*F15</f>
        <v>1.8483400574643991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7">
        <f>C14*C4*LN((C16-C22)/C15+1)</f>
        <v>1.431519912058854</v>
      </c>
      <c r="E17" t="s">
        <v>39</v>
      </c>
      <c r="F17" s="2">
        <f>C14*C4*LN((C16-0)/C15+1)</f>
        <v>1.4522120801372258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48</v>
      </c>
      <c r="C18">
        <f>C17*C22</f>
        <v>0.70607882684093271</v>
      </c>
      <c r="E18" t="s">
        <v>40</v>
      </c>
      <c r="F18" s="2">
        <f>C16</f>
        <v>1.4977457226122459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62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25</v>
      </c>
      <c r="C21" s="7">
        <f>C10+C17</f>
        <v>1.9059358975737011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26</v>
      </c>
      <c r="C22" s="7">
        <v>0.49323716763773784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31</v>
      </c>
      <c r="C23" s="8">
        <f>C22*C21</f>
        <v>0.94007842381834195</v>
      </c>
      <c r="E23" t="b">
        <v>0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20</v>
      </c>
      <c r="C25" s="7">
        <f>C7*C4*LN((C9-0)/C8+1)+C14*C4*LN((C16-0)/C15+1)</f>
        <v>2.0307456163730588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7">
        <f>F28</f>
        <v>0.50225427748775409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21</v>
      </c>
      <c r="F28" s="2">
        <f>Ip_1_mA-I0_1_mA*(EXP(u/n_1)-1)</f>
        <v>0.50225427748775409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22</v>
      </c>
      <c r="F29" s="2">
        <f>Ip_2_mA-I0_2_mA*(EXP(-u/n_2)-1)</f>
        <v>0.50223796072890436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24</v>
      </c>
      <c r="E30" t="s">
        <v>19</v>
      </c>
      <c r="F30" s="2">
        <v>-55.253037514781951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23</v>
      </c>
      <c r="F31" s="2">
        <f>tandem!F28-tandem!F29</f>
        <v>1.6316758849721502E-5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tandem!C7+tandem!C14</f>
        <v>3</v>
      </c>
      <c r="E44" t="s">
        <v>50</v>
      </c>
      <c r="F44" s="1">
        <f>C55+C57+C58</f>
        <v>1.3333333333996666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54</v>
      </c>
      <c r="C45">
        <f>tandem!C7/C44</f>
        <v>0.33333333333333331</v>
      </c>
      <c r="E45" t="s">
        <v>51</v>
      </c>
      <c r="F45" s="1">
        <f>C48+C50+C51</f>
        <v>0.66666666660033336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55</v>
      </c>
      <c r="C46">
        <f>tandem!C14/C44</f>
        <v>0.66666666666666663</v>
      </c>
      <c r="E46" t="s">
        <v>52</v>
      </c>
      <c r="F46" s="3">
        <f>B56</f>
        <v>0.33333333333333331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E47" t="s">
        <v>53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0.33333333333333337</v>
      </c>
      <c r="C48">
        <f>B48*tandem!C3</f>
        <v>0.66666666666666674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-0.33333333333333331</v>
      </c>
      <c r="C49" s="3">
        <f t="shared" si="0"/>
        <v>-0.16441238921257928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-0.66666666666666663</v>
      </c>
      <c r="C50" s="1">
        <f t="shared" si="0"/>
        <v>-6.6666666666666669E-11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0.33333333333333331</v>
      </c>
      <c r="C51" s="1">
        <f t="shared" si="0"/>
        <v>3.3333333333333329E-13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0.50225427738775408</v>
      </c>
      <c r="H52" s="1"/>
    </row>
    <row r="53" spans="2:39" x14ac:dyDescent="0.2">
      <c r="B53" s="1" t="s">
        <v>13</v>
      </c>
      <c r="C53" s="4">
        <f>1-C60</f>
        <v>0.25112713869387704</v>
      </c>
      <c r="H53" s="1"/>
    </row>
    <row r="54" spans="2:39" x14ac:dyDescent="0.2">
      <c r="H54" s="1"/>
    </row>
    <row r="55" spans="2:39" x14ac:dyDescent="0.2">
      <c r="B55">
        <f>C46</f>
        <v>0.66666666666666663</v>
      </c>
      <c r="C55">
        <f>B55*Ip_mA</f>
        <v>1.3333333333333333</v>
      </c>
      <c r="H55" s="1"/>
    </row>
    <row r="56" spans="2:39" x14ac:dyDescent="0.2">
      <c r="B56">
        <f>C46-C45</f>
        <v>0.33333333333333331</v>
      </c>
      <c r="C56" s="3">
        <f>B56*Im_mA</f>
        <v>0.16441238921257928</v>
      </c>
      <c r="H56" s="1"/>
    </row>
    <row r="57" spans="2:39" x14ac:dyDescent="0.2">
      <c r="B57">
        <f>C46</f>
        <v>0.66666666666666663</v>
      </c>
      <c r="C57" s="1">
        <f>B57*I0_1_mA</f>
        <v>6.6666666666666669E-11</v>
      </c>
      <c r="H57" s="1"/>
    </row>
    <row r="58" spans="2:39" x14ac:dyDescent="0.2">
      <c r="B58">
        <f>-C45</f>
        <v>-0.33333333333333331</v>
      </c>
      <c r="C58" s="1">
        <f>B58*I0_2_mA</f>
        <v>-3.3333333333333329E-13</v>
      </c>
      <c r="H58" s="1"/>
    </row>
    <row r="59" spans="2:39" x14ac:dyDescent="0.2">
      <c r="B59" t="s">
        <v>15</v>
      </c>
      <c r="C59">
        <f>SUM(C55:C58)</f>
        <v>1.4977457226122459</v>
      </c>
      <c r="H59" s="1"/>
    </row>
    <row r="60" spans="2:39" x14ac:dyDescent="0.2">
      <c r="B60" s="1" t="s">
        <v>12</v>
      </c>
      <c r="C60" s="4">
        <f>C59/Ip_mA</f>
        <v>0.74887286130612296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3</xdr:col>
                    <xdr:colOff>533400</xdr:colOff>
                    <xdr:row>21</xdr:row>
                    <xdr:rowOff>101600</xdr:rowOff>
                  </from>
                  <to>
                    <xdr:col>5</xdr:col>
                    <xdr:colOff>406400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5</xdr:col>
                    <xdr:colOff>457200</xdr:colOff>
                    <xdr:row>21</xdr:row>
                    <xdr:rowOff>139700</xdr:rowOff>
                  </from>
                  <to>
                    <xdr:col>8</xdr:col>
                    <xdr:colOff>50800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L20" sqref="L20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42</v>
      </c>
      <c r="H2" t="s">
        <v>43</v>
      </c>
      <c r="I2" s="2" t="s">
        <v>36</v>
      </c>
      <c r="J2" t="s">
        <v>41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0.50225427748775409</v>
      </c>
      <c r="D3" s="2" t="e">
        <f>tandem!C$7*tandem!C$4*LN((M$28-C3)/tandem!C$8+1)</f>
        <v>#NUM!</v>
      </c>
      <c r="E3" s="2">
        <f>tandem!C$14*tandem!C$4*LN((M$29-C3)/tandem!C$15+1)</f>
        <v>1.4310528226037764</v>
      </c>
      <c r="F3" s="2">
        <v>0</v>
      </c>
      <c r="G3" s="2">
        <f>A3*calc!M$30</f>
        <v>0</v>
      </c>
      <c r="H3" s="2">
        <f>A3*calc!M$31</f>
        <v>0</v>
      </c>
      <c r="I3" s="2">
        <f>tandem!C$9-tandem!C$8*(EXP(G3/tandem!C$7/tandem!C$4)-1)</f>
        <v>0.50225427738775408</v>
      </c>
      <c r="J3" s="2">
        <f>tandem!C$16-tandem!C$15*(EXP(H3/tandem!C$14/tandem!C$4)-1)</f>
        <v>1.4977457226122459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0.49634941993099241</v>
      </c>
      <c r="D4" s="2">
        <f>tandem!C$7*tandem!C$4*LN((M$28-C4)/tandem!C$8+1)</f>
        <v>0.46345125832599698</v>
      </c>
      <c r="E4" s="2">
        <f>tandem!C$14*tandem!C$4*LN((M$29-C4)/tandem!C$15+1)</f>
        <v>1.4313591718347711</v>
      </c>
      <c r="F4" s="2">
        <f t="shared" ref="F4:F35" si="2">D4+E4</f>
        <v>1.894810430160768</v>
      </c>
      <c r="G4" s="2">
        <f>A4*calc!M$30</f>
        <v>1.1570670724716656E-2</v>
      </c>
      <c r="H4" s="2">
        <f>A4*calc!M$31</f>
        <v>2.9044241602744516E-2</v>
      </c>
      <c r="I4" s="2">
        <f>tandem!C$9-tandem!C$8*(EXP(G4/tandem!C$7/tandem!C$4)-1)</f>
        <v>0.50225427733143269</v>
      </c>
      <c r="J4" s="2">
        <f>tandem!C$16-tandem!C$15*(EXP(H4/tandem!C$14/tandem!C$4)-1)</f>
        <v>1.4977457226114941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0.49032527633891698</v>
      </c>
      <c r="D5" s="2">
        <f>tandem!C$7*tandem!C$4*LN((M$28-C5)/tandem!C$8+1)</f>
        <v>0.48166406528091693</v>
      </c>
      <c r="E5" s="2">
        <f>tandem!C$14*tandem!C$4*LN((M$29-C5)/tandem!C$15+1)</f>
        <v>1.4316698538058092</v>
      </c>
      <c r="F5" s="2">
        <f t="shared" si="2"/>
        <v>1.9133339190867262</v>
      </c>
      <c r="G5" s="2">
        <f>A5*calc!M$30</f>
        <v>2.3141341449433313E-2</v>
      </c>
      <c r="H5" s="2">
        <f>A5*calc!M$31</f>
        <v>5.8088483205489032E-2</v>
      </c>
      <c r="I5" s="2">
        <f>tandem!C$9-tandem!C$8*(EXP(G5/tandem!C$7/tandem!C$4)-1)</f>
        <v>0.50225427724339022</v>
      </c>
      <c r="J5" s="2">
        <f>tandem!C$16-tandem!C$15*(EXP(H5/tandem!C$14/tandem!C$4)-1)</f>
        <v>1.4977457226101767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0.48417943697376808</v>
      </c>
      <c r="D6" s="2">
        <f>tandem!C$7*tandem!C$4*LN((M$28-C6)/tandem!C$8+1)</f>
        <v>0.49242676982072997</v>
      </c>
      <c r="E6" s="2">
        <f>tandem!C$14*tandem!C$4*LN((M$29-C6)/tandem!C$15+1)</f>
        <v>1.4319849033362644</v>
      </c>
      <c r="F6" s="2">
        <f t="shared" si="2"/>
        <v>1.9244116731569942</v>
      </c>
      <c r="G6" s="2">
        <f>A6*calc!M$30</f>
        <v>3.4712012174149966E-2</v>
      </c>
      <c r="H6" s="2">
        <f>A6*calc!M$31</f>
        <v>8.7132724808233544E-2</v>
      </c>
      <c r="I6" s="2">
        <f>tandem!C$9-tandem!C$8*(EXP(G6/tandem!C$7/tandem!C$4)-1)</f>
        <v>0.50225427710576109</v>
      </c>
      <c r="J6" s="2">
        <f>tandem!C$16-tandem!C$15*(EXP(H6/tandem!C$14/tandem!C$4)-1)</f>
        <v>1.4977457226078692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0.47790944341785396</v>
      </c>
      <c r="D7" s="2">
        <f>tandem!C$7*tandem!C$4*LN((M$28-C7)/tandem!C$8+1)</f>
        <v>0.50013975691212298</v>
      </c>
      <c r="E7" s="2">
        <f>tandem!C$14*tandem!C$4*LN((M$29-C7)/tandem!C$15+1)</f>
        <v>1.4323043547829863</v>
      </c>
      <c r="F7" s="2">
        <f t="shared" si="2"/>
        <v>1.9324441116951094</v>
      </c>
      <c r="G7" s="2">
        <f>A7*calc!M$30</f>
        <v>4.6282682898866626E-2</v>
      </c>
      <c r="H7" s="2">
        <f>A7*calc!M$31</f>
        <v>0.11617696641097806</v>
      </c>
      <c r="I7" s="2">
        <f>tandem!C$9-tandem!C$8*(EXP(G7/tandem!C$7/tandem!C$4)-1)</f>
        <v>0.50225427689061719</v>
      </c>
      <c r="J7" s="2">
        <f>tandem!C$16-tandem!C$15*(EXP(H7/tandem!C$14/tandem!C$4)-1)</f>
        <v>1.4977457226038262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0.47151278759015125</v>
      </c>
      <c r="D8" s="2">
        <f>tandem!C$7*tandem!C$4*LN((M$28-C8)/tandem!C$8+1)</f>
        <v>0.50618205936031635</v>
      </c>
      <c r="E8" s="2">
        <f>tandem!C$14*tandem!C$4*LN((M$29-C8)/tandem!C$15+1)</f>
        <v>1.4326282420191454</v>
      </c>
      <c r="F8" s="2">
        <f t="shared" si="2"/>
        <v>1.9388103013794618</v>
      </c>
      <c r="G8" s="2">
        <f>A8*calc!M$30</f>
        <v>5.7853353623583285E-2</v>
      </c>
      <c r="H8" s="2">
        <f>A8*calc!M$31</f>
        <v>0.1452212080137226</v>
      </c>
      <c r="I8" s="2">
        <f>tandem!C$9-tandem!C$8*(EXP(G8/tandem!C$7/tandem!C$4)-1)</f>
        <v>0.50225427655430133</v>
      </c>
      <c r="J8" s="2">
        <f>tandem!C$16-tandem!C$15*(EXP(H8/tandem!C$14/tandem!C$4)-1)</f>
        <v>1.4977457225967437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0.46498691074303905</v>
      </c>
      <c r="D9" s="2">
        <f>tandem!C$7*tandem!C$4*LN((M$28-C9)/tandem!C$8+1)</f>
        <v>0.51116793504940206</v>
      </c>
      <c r="E9" s="2">
        <f>tandem!C$14*tandem!C$4*LN((M$29-C9)/tandem!C$15+1)</f>
        <v>1.4329565984131112</v>
      </c>
      <c r="F9" s="2">
        <f t="shared" si="2"/>
        <v>1.9441245334625132</v>
      </c>
      <c r="G9" s="2">
        <f>A9*calc!M$30</f>
        <v>6.9424024348299931E-2</v>
      </c>
      <c r="H9" s="2">
        <f>A9*calc!M$31</f>
        <v>0.17426544961646709</v>
      </c>
      <c r="I9" s="2">
        <f>tandem!C$9-tandem!C$8*(EXP(G9/tandem!C$7/tandem!C$4)-1)</f>
        <v>0.50225427602856743</v>
      </c>
      <c r="J9" s="2">
        <f>tandem!C$16-tandem!C$15*(EXP(H9/tandem!C$14/tandem!C$4)-1)</f>
        <v>1.4977457225843356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0.45832920243876557</v>
      </c>
      <c r="D10" s="2">
        <f>tandem!C$7*tandem!C$4*LN((M$28-C10)/tandem!C$8+1)</f>
        <v>0.51542504773427078</v>
      </c>
      <c r="E10" s="2">
        <f>tandem!C$14*tandem!C$4*LN((M$29-C10)/tandem!C$15+1)</f>
        <v>1.4332894568073842</v>
      </c>
      <c r="F10" s="2">
        <f t="shared" si="2"/>
        <v>1.948714504541655</v>
      </c>
      <c r="G10" s="2">
        <f>A10*calc!M$30</f>
        <v>8.0994695073016598E-2</v>
      </c>
      <c r="H10" s="2">
        <f>A10*calc!M$31</f>
        <v>0.20330969121921164</v>
      </c>
      <c r="I10" s="2">
        <f>tandem!C$9-tandem!C$8*(EXP(G10/tandem!C$7/tandem!C$4)-1)</f>
        <v>0.50225427520673294</v>
      </c>
      <c r="J10" s="2">
        <f>tandem!C$16-tandem!C$15*(EXP(H10/tandem!C$14/tandem!C$4)-1)</f>
        <v>1.4977457225625981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0.45153699950523846</v>
      </c>
      <c r="D11" s="2">
        <f>tandem!C$7*tandem!C$4*LN((M$28-C11)/tandem!C$8+1)</f>
        <v>0.51914898336564852</v>
      </c>
      <c r="E11" s="2">
        <f>tandem!C$14*tandem!C$4*LN((M$29-C11)/tandem!C$15+1)</f>
        <v>1.4336268494976074</v>
      </c>
      <c r="F11" s="2">
        <f t="shared" si="2"/>
        <v>1.9527758328632561</v>
      </c>
      <c r="G11" s="2">
        <f>A11*calc!M$30</f>
        <v>9.2565365797733251E-2</v>
      </c>
      <c r="H11" s="2">
        <f>A11*calc!M$31</f>
        <v>0.23235393282195613</v>
      </c>
      <c r="I11" s="2">
        <f>tandem!C$9-tandem!C$8*(EXP(G11/tandem!C$7/tandem!C$4)-1)</f>
        <v>0.50225427392202959</v>
      </c>
      <c r="J11" s="2">
        <f>tandem!C$16-tandem!C$15*(EXP(H11/tandem!C$14/tandem!C$4)-1)</f>
        <v>1.4977457225245161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0.4446075849707205</v>
      </c>
      <c r="D12" s="2">
        <f>tandem!C$7*tandem!C$4*LN((M$28-C12)/tandem!C$8+1)</f>
        <v>0.52246589877807958</v>
      </c>
      <c r="E12" s="2">
        <f>tandem!C$14*tandem!C$4*LN((M$29-C12)/tandem!C$15+1)</f>
        <v>1.4339688082116853</v>
      </c>
      <c r="F12" s="2">
        <f t="shared" si="2"/>
        <v>1.9564347069897647</v>
      </c>
      <c r="G12" s="2">
        <f>A12*calc!M$30</f>
        <v>0.1041360365224499</v>
      </c>
      <c r="H12" s="2">
        <f>A12*calc!M$31</f>
        <v>0.26139817442470065</v>
      </c>
      <c r="I12" s="2">
        <f>tandem!C$9-tandem!C$8*(EXP(G12/tandem!C$7/tandem!C$4)-1)</f>
        <v>0.50225427191376315</v>
      </c>
      <c r="J12" s="2">
        <f>tandem!C$16-tandem!C$15*(EXP(H12/tandem!C$14/tandem!C$4)-1)</f>
        <v>1.4977457224578001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0.43753818697700436</v>
      </c>
      <c r="D13" s="2">
        <f>tandem!C$7*tandem!C$4*LN((M$28-C13)/tandem!C$8+1)</f>
        <v>0.52546193285622178</v>
      </c>
      <c r="E13" s="2">
        <f>tandem!C$14*tandem!C$4*LN((M$29-C13)/tandem!C$15+1)</f>
        <v>1.4343153640890325</v>
      </c>
      <c r="F13" s="2">
        <f t="shared" si="2"/>
        <v>1.9597772969452543</v>
      </c>
      <c r="G13" s="2">
        <f>A13*calc!M$30</f>
        <v>0.11570670724716657</v>
      </c>
      <c r="H13" s="2">
        <f>A13*calc!M$31</f>
        <v>0.29044241602744519</v>
      </c>
      <c r="I13" s="2">
        <f>tandem!C$9-tandem!C$8*(EXP(G13/tandem!C$7/tandem!C$4)-1)</f>
        <v>0.5022542687744127</v>
      </c>
      <c r="J13" s="2">
        <f>tandem!C$16-tandem!C$15*(EXP(H13/tandem!C$14/tandem!C$4)-1)</f>
        <v>1.497745722340921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0.4303259776706328</v>
      </c>
      <c r="D14" s="2">
        <f>tandem!C$7*tandem!C$4*LN((M$28-C14)/tandem!C$8+1)</f>
        <v>0.52819852484231145</v>
      </c>
      <c r="E14" s="2">
        <f>tandem!C$14*tandem!C$4*LN((M$29-C14)/tandem!C$15+1)</f>
        <v>1.4346665476599834</v>
      </c>
      <c r="F14" s="2">
        <f t="shared" si="2"/>
        <v>1.9628650725022947</v>
      </c>
      <c r="G14" s="2">
        <f>A14*calc!M$30</f>
        <v>0.12727737797188321</v>
      </c>
      <c r="H14" s="2">
        <f>A14*calc!M$31</f>
        <v>0.31948665763018969</v>
      </c>
      <c r="I14" s="2">
        <f>tandem!C$9-tandem!C$8*(EXP(G14/tandem!C$7/tandem!C$4)-1)</f>
        <v>0.50225426386693572</v>
      </c>
      <c r="J14" s="2">
        <f>tandem!C$16-tandem!C$15*(EXP(H14/tandem!C$14/tandem!C$4)-1)</f>
        <v>1.4977457221361603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0.42296807207171894</v>
      </c>
      <c r="D15" s="2">
        <f>tandem!C$7*tandem!C$4*LN((M$28-C15)/tandem!C$8+1)</f>
        <v>0.53072103908072843</v>
      </c>
      <c r="E15" s="2">
        <f>tandem!C$14*tandem!C$4*LN((M$29-C15)/tandem!C$15+1)</f>
        <v>1.4350223888253839</v>
      </c>
      <c r="F15" s="2">
        <f t="shared" si="2"/>
        <v>1.9657434279061123</v>
      </c>
      <c r="G15" s="2">
        <f>A15*calc!M$30</f>
        <v>0.13884804869659986</v>
      </c>
      <c r="H15" s="2">
        <f>A15*calc!M$31</f>
        <v>0.34853089923293418</v>
      </c>
      <c r="I15" s="2">
        <f>tandem!C$9-tandem!C$8*(EXP(G15/tandem!C$7/tandem!C$4)-1)</f>
        <v>0.50225425619549835</v>
      </c>
      <c r="J15" s="2">
        <f>tandem!C$16-tandem!C$15*(EXP(H15/tandem!C$14/tandem!C$4)-1)</f>
        <v>1.4977457217774406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0.41546152691991672</v>
      </c>
      <c r="D16" s="2">
        <f>tandem!C$7*tandem!C$4*LN((M$28-C16)/tandem!C$8+1)</f>
        <v>0.53306392563362515</v>
      </c>
      <c r="E16" s="2">
        <f>tandem!C$14*tandem!C$4*LN((M$29-C16)/tandem!C$15+1)</f>
        <v>1.435382916836397</v>
      </c>
      <c r="F16" s="2">
        <f t="shared" si="2"/>
        <v>1.9684468424700221</v>
      </c>
      <c r="G16" s="2">
        <f>A16*calc!M$30</f>
        <v>0.15041871942131654</v>
      </c>
      <c r="H16" s="2">
        <f>A16*calc!M$31</f>
        <v>0.37757514083567872</v>
      </c>
      <c r="I16" s="2">
        <f>tandem!C$9-tandem!C$8*(EXP(G16/tandem!C$7/tandem!C$4)-1)</f>
        <v>0.50225424420339893</v>
      </c>
      <c r="J16" s="2">
        <f>tandem!C$16-tandem!C$15*(EXP(H16/tandem!C$14/tandem!C$4)-1)</f>
        <v>1.4977457211490004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0.40780333949707681</v>
      </c>
      <c r="D17" s="2">
        <f>tandem!C$7*tandem!C$4*LN((M$28-C17)/tandem!C$8+1)</f>
        <v>0.53525396295680294</v>
      </c>
      <c r="E17" s="2">
        <f>tandem!C$14*tandem!C$4*LN((M$29-C17)/tandem!C$15+1)</f>
        <v>1.4357481602745445</v>
      </c>
      <c r="F17" s="2">
        <f t="shared" si="2"/>
        <v>1.9710021232313475</v>
      </c>
      <c r="G17" s="2">
        <f>A17*calc!M$30</f>
        <v>0.1619893901460332</v>
      </c>
      <c r="H17" s="2">
        <f>A17*calc!M$31</f>
        <v>0.40661938243842327</v>
      </c>
      <c r="I17" s="2">
        <f>tandem!C$9-tandem!C$8*(EXP(G17/tandem!C$7/tandem!C$4)-1)</f>
        <v>0.50225422545717968</v>
      </c>
      <c r="J17" s="2">
        <f>tandem!C$16-tandem!C$15*(EXP(H17/tandem!C$14/tandem!C$4)-1)</f>
        <v>1.4977457200480375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0.39999044642611936</v>
      </c>
      <c r="D18" s="2">
        <f>tandem!C$7*tandem!C$4*LN((M$28-C18)/tandem!C$8+1)</f>
        <v>0.53731237912945373</v>
      </c>
      <c r="E18" s="2">
        <f>tandem!C$14*tandem!C$4*LN((M$29-C18)/tandem!C$15+1)</f>
        <v>1.436118147032017</v>
      </c>
      <c r="F18" s="2">
        <f t="shared" si="2"/>
        <v>1.9734305261614709</v>
      </c>
      <c r="G18" s="2">
        <f>A18*calc!M$30</f>
        <v>0.17356006087074985</v>
      </c>
      <c r="H18" s="2">
        <f>A18*calc!M$31</f>
        <v>0.43566362404116771</v>
      </c>
      <c r="I18" s="2">
        <f>tandem!C$9-tandem!C$8*(EXP(G18/tandem!C$7/tandem!C$4)-1)</f>
        <v>0.50225419615282485</v>
      </c>
      <c r="J18" s="2">
        <f>tandem!C$16-tandem!C$15*(EXP(H18/tandem!C$14/tandem!C$4)-1)</f>
        <v>1.4977457181192628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0.39201972244564287</v>
      </c>
      <c r="D19" s="2">
        <f>tandem!C$7*tandem!C$4*LN((M$28-C19)/tandem!C$8+1)</f>
        <v>0.5392562870874037</v>
      </c>
      <c r="E19" s="2">
        <f>tandem!C$14*tandem!C$4*LN((M$29-C19)/tandem!C$15+1)</f>
        <v>1.4364929042922727</v>
      </c>
      <c r="F19" s="2">
        <f t="shared" si="2"/>
        <v>1.9757491913796765</v>
      </c>
      <c r="G19" s="2">
        <f>A19*calc!M$30</f>
        <v>0.1851307315954665</v>
      </c>
      <c r="H19" s="2">
        <f>A19*calc!M$31</f>
        <v>0.46470786564391225</v>
      </c>
      <c r="I19" s="2">
        <f>tandem!C$9-tandem!C$8*(EXP(G19/tandem!C$7/tandem!C$4)-1)</f>
        <v>0.50225415034384313</v>
      </c>
      <c r="J19" s="2">
        <f>tandem!C$16-tandem!C$15*(EXP(H19/tandem!C$14/tandem!C$4)-1)</f>
        <v>1.4977457147402471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0.38388797915977735</v>
      </c>
      <c r="D20" s="2">
        <f>tandem!C$7*tandem!C$4*LN((M$28-C20)/tandem!C$8+1)</f>
        <v>0.54109968398109221</v>
      </c>
      <c r="E20" s="2">
        <f>tandem!C$14*tandem!C$4*LN((M$29-C20)/tandem!C$15+1)</f>
        <v>1.4368724585109605</v>
      </c>
      <c r="F20" s="2">
        <f t="shared" si="2"/>
        <v>1.9779721424920527</v>
      </c>
      <c r="G20" s="2">
        <f>A20*calc!M$30</f>
        <v>0.19670140232018318</v>
      </c>
      <c r="H20" s="2">
        <f>A20*calc!M$31</f>
        <v>0.4937521072466568</v>
      </c>
      <c r="I20" s="2">
        <f>tandem!C$9-tandem!C$8*(EXP(G20/tandem!C$7/tandem!C$4)-1)</f>
        <v>0.5022540787345956</v>
      </c>
      <c r="J20" s="2">
        <f>tandem!C$16-tandem!C$15*(EXP(H20/tandem!C$14/tandem!C$4)-1)</f>
        <v>1.4977457088205568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0.37559196376278386</v>
      </c>
      <c r="D21" s="2">
        <f>tandem!C$7*tandem!C$4*LN((M$28-C21)/tandem!C$8+1)</f>
        <v>0.54285416445145573</v>
      </c>
      <c r="E21" s="2">
        <f>tandem!C$14*tandem!C$4*LN((M$29-C21)/tandem!C$15+1)</f>
        <v>1.4372568353971849</v>
      </c>
      <c r="F21" s="2">
        <f t="shared" si="2"/>
        <v>1.9801109998486406</v>
      </c>
      <c r="G21" s="2">
        <f>A21*calc!M$30</f>
        <v>0.20827207304489981</v>
      </c>
      <c r="H21" s="2">
        <f>A21*calc!M$31</f>
        <v>0.52279634884940129</v>
      </c>
      <c r="I21" s="2">
        <f>tandem!C$9-tandem!C$8*(EXP(G21/tandem!C$7/tandem!C$4)-1)</f>
        <v>0.50225396679400769</v>
      </c>
      <c r="J21" s="2">
        <f>tandem!C$16-tandem!C$15*(EXP(H21/tandem!C$14/tandem!C$4)-1)</f>
        <v>1.4977456984498643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0.36712835773788838</v>
      </c>
      <c r="D22" s="2">
        <f>tandem!C$7*tandem!C$4*LN((M$28-C22)/tandem!C$8+1)</f>
        <v>0.54452944079904941</v>
      </c>
      <c r="E22" s="2">
        <f>tandem!C$14*tandem!C$4*LN((M$29-C22)/tandem!C$15+1)</f>
        <v>1.4376460598951479</v>
      </c>
      <c r="F22" s="2">
        <f t="shared" si="2"/>
        <v>1.9821755006941975</v>
      </c>
      <c r="G22" s="2">
        <f>A22*calc!M$30</f>
        <v>0.21984274376961646</v>
      </c>
      <c r="H22" s="2">
        <f>A22*calc!M$31</f>
        <v>0.55184059045214584</v>
      </c>
      <c r="I22" s="2">
        <f>tandem!C$9-tandem!C$8*(EXP(G22/tandem!C$7/tandem!C$4)-1)</f>
        <v>0.50225379180689866</v>
      </c>
      <c r="J22" s="2">
        <f>tandem!C$16-tandem!C$15*(EXP(H22/tandem!C$14/tandem!C$4)-1)</f>
        <v>1.4977456802814715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0.35849377552983153</v>
      </c>
      <c r="D23" s="2">
        <f>tandem!C$7*tandem!C$4*LN((M$28-C23)/tandem!C$8+1)</f>
        <v>0.54613372957320505</v>
      </c>
      <c r="E23" s="2">
        <f>tandem!C$14*tandem!C$4*LN((M$29-C23)/tandem!C$15+1)</f>
        <v>1.4380401561661889</v>
      </c>
      <c r="F23" s="2">
        <f t="shared" si="2"/>
        <v>1.984173885739394</v>
      </c>
      <c r="G23" s="2">
        <f>A23*calc!M$30</f>
        <v>0.23141341449433314</v>
      </c>
      <c r="H23" s="2">
        <f>A23*calc!M$31</f>
        <v>0.58088483205489039</v>
      </c>
      <c r="I23" s="2">
        <f>tandem!C$9-tandem!C$8*(EXP(G23/tandem!C$7/tandem!C$4)-1)</f>
        <v>0.50225351826457665</v>
      </c>
      <c r="J23" s="2">
        <f>tandem!C$16-tandem!C$15*(EXP(H23/tandem!C$14/tandem!C$4)-1)</f>
        <v>1.4977456484523044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0.34968476319060082</v>
      </c>
      <c r="D24" s="2">
        <f>tandem!C$7*tandem!C$4*LN((M$28-C24)/tandem!C$8+1)</f>
        <v>0.54767404374221584</v>
      </c>
      <c r="E24" s="2">
        <f>tandem!C$14*tandem!C$4*LN((M$29-C24)/tandem!C$15+1)</f>
        <v>1.4384391475712508</v>
      </c>
      <c r="F24" s="2">
        <f t="shared" si="2"/>
        <v>1.9861131913134666</v>
      </c>
      <c r="G24" s="2">
        <f>A24*calc!M$30</f>
        <v>0.24298408521904977</v>
      </c>
      <c r="H24" s="2">
        <f>A24*calc!M$31</f>
        <v>0.60992907365763482</v>
      </c>
      <c r="I24" s="2">
        <f>tandem!C$9-tandem!C$8*(EXP(G24/tandem!C$7/tandem!C$4)-1)</f>
        <v>0.50225309065935297</v>
      </c>
      <c r="J24" s="2">
        <f>tandem!C$16-tandem!C$15*(EXP(H24/tandem!C$14/tandem!C$4)-1)</f>
        <v>1.4977455926908572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0.34069779699780528</v>
      </c>
      <c r="D25" s="2">
        <f>tandem!C$7*tandem!C$4*LN((M$28-C25)/tandem!C$8+1)</f>
        <v>0.54915641683313177</v>
      </c>
      <c r="E25" s="2">
        <f>tandem!C$14*tandem!C$4*LN((M$29-C25)/tandem!C$15+1)</f>
        <v>1.4388430566538004</v>
      </c>
      <c r="F25" s="2">
        <f t="shared" si="2"/>
        <v>1.9879994734869322</v>
      </c>
      <c r="G25" s="2">
        <f>A25*calc!M$30</f>
        <v>0.25455475594376642</v>
      </c>
      <c r="H25" s="2">
        <f>A25*calc!M$31</f>
        <v>0.63897331526037937</v>
      </c>
      <c r="I25" s="2">
        <f>tandem!C$9-tandem!C$8*(EXP(G25/tandem!C$7/tandem!C$4)-1)</f>
        <v>0.50225242222082389</v>
      </c>
      <c r="J25" s="2">
        <f>tandem!C$16-tandem!C$15*(EXP(H25/tandem!C$14/tandem!C$4)-1)</f>
        <v>1.4977454950025018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0.33152928204514021</v>
      </c>
      <c r="D26" s="2">
        <f>tandem!C$7*tandem!C$4*LN((M$28-C26)/tandem!C$8+1)</f>
        <v>0.55058607720697905</v>
      </c>
      <c r="E26" s="2">
        <f>tandem!C$14*tandem!C$4*LN((M$29-C26)/tandem!C$15+1)</f>
        <v>1.4392519051232233</v>
      </c>
      <c r="F26" s="2">
        <f t="shared" si="2"/>
        <v>1.9898379823302024</v>
      </c>
      <c r="G26" s="2">
        <f>A26*calc!M$30</f>
        <v>0.2661254266684831</v>
      </c>
      <c r="H26" s="2">
        <f>A26*calc!M$31</f>
        <v>0.66801755686312392</v>
      </c>
      <c r="I26" s="2">
        <f>tandem!C$9-tandem!C$8*(EXP(G26/tandem!C$7/tandem!C$4)-1)</f>
        <v>0.50225137730826808</v>
      </c>
      <c r="J26" s="2">
        <f>tandem!C$16-tandem!C$15*(EXP(H26/tandem!C$14/tandem!C$4)-1)</f>
        <v>1.4977453238624889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0.32217555080437588</v>
      </c>
      <c r="D27" s="2">
        <f>tandem!C$7*tandem!C$4*LN((M$28-C27)/tandem!C$8+1)</f>
        <v>0.55196758521635292</v>
      </c>
      <c r="E27" s="2">
        <f>tandem!C$14*tandem!C$4*LN((M$29-C27)/tandem!C$15+1)</f>
        <v>1.4396657138387254</v>
      </c>
      <c r="F27" s="2">
        <f t="shared" si="2"/>
        <v>1.9916332990550782</v>
      </c>
      <c r="G27" s="2">
        <f>A27*calc!M$30</f>
        <v>0.27769609739319973</v>
      </c>
      <c r="H27" s="2">
        <f>A27*calc!M$31</f>
        <v>0.69706179846586835</v>
      </c>
      <c r="I27" s="2">
        <f>tandem!C$9-tandem!C$8*(EXP(G27/tandem!C$7/tandem!C$4)-1)</f>
        <v>0.50224974388619292</v>
      </c>
      <c r="J27" s="2">
        <f>tandem!C$16-tandem!C$15*(EXP(H27/tandem!C$14/tandem!C$4)-1)</f>
        <v>1.4977450240426808</v>
      </c>
      <c r="L27" t="s">
        <v>44</v>
      </c>
      <c r="M27">
        <v>0.50225427748775409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0.31263286165829807</v>
      </c>
      <c r="D28" s="2">
        <f>tandem!C$7*tandem!C$4*LN((M$28-C28)/tandem!C$8+1)</f>
        <v>0.55330494234556815</v>
      </c>
      <c r="E28" s="2">
        <f>tandem!C$14*tandem!C$4*LN((M$29-C28)/tandem!C$15+1)</f>
        <v>1.4400845027937601</v>
      </c>
      <c r="F28" s="2">
        <f t="shared" si="2"/>
        <v>1.9933894451393281</v>
      </c>
      <c r="G28" s="2">
        <f>A28*calc!M$30</f>
        <v>0.28926676811791641</v>
      </c>
      <c r="H28" s="2">
        <f>A28*calc!M$31</f>
        <v>0.7261060400686129</v>
      </c>
      <c r="I28" s="2">
        <f>tandem!C$9-tandem!C$8*(EXP(G28/tandem!C$7/tandem!C$4)-1)</f>
        <v>0.5022471904977196</v>
      </c>
      <c r="J28" s="2">
        <f>tandem!C$16-tandem!C$15*(EXP(H28/tandem!C$14/tandem!C$4)-1)</f>
        <v>1.4977444987890254</v>
      </c>
      <c r="L28" t="s">
        <v>45</v>
      </c>
      <c r="M28">
        <v>0.50225427738775408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0.30289739740401067</v>
      </c>
      <c r="D29" s="2">
        <f>tandem!C$7*tandem!C$4*LN((M$28-C29)/tandem!C$8+1)</f>
        <v>0.55460167893246615</v>
      </c>
      <c r="E29" s="2">
        <f>tandem!C$14*tandem!C$4*LN((M$29-C29)/tandem!C$15+1)</f>
        <v>1.4405082911010079</v>
      </c>
      <c r="F29" s="2">
        <f t="shared" si="2"/>
        <v>1.995109970033474</v>
      </c>
      <c r="G29" s="2">
        <f>A29*calc!M$30</f>
        <v>0.30083743884263309</v>
      </c>
      <c r="H29" s="2">
        <f>A29*calc!M$31</f>
        <v>0.75515028167135745</v>
      </c>
      <c r="I29" s="2">
        <f>tandem!C$9-tandem!C$8*(EXP(G29/tandem!C$7/tandem!C$4)-1)</f>
        <v>0.50224319900477077</v>
      </c>
      <c r="J29" s="2">
        <f>tandem!C$16-tandem!C$15*(EXP(H29/tandem!C$14/tandem!C$4)-1)</f>
        <v>1.4977435785983135</v>
      </c>
      <c r="L29" t="s">
        <v>46</v>
      </c>
      <c r="M29">
        <v>1.4977457226122459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0.29296526372600407</v>
      </c>
      <c r="D30" s="2">
        <f>tandem!C$7*tandem!C$4*LN((M$28-C30)/tandem!C$8+1)</f>
        <v>0.55586092532589015</v>
      </c>
      <c r="E30" s="2">
        <f>tandem!C$14*tandem!C$4*LN((M$29-C30)/tandem!C$15+1)</f>
        <v>1.4409370969779296</v>
      </c>
      <c r="F30" s="2">
        <f t="shared" si="2"/>
        <v>1.9967980223038198</v>
      </c>
      <c r="G30" s="2">
        <f>A30*calc!M$30</f>
        <v>0.31240810956734971</v>
      </c>
      <c r="H30" s="2">
        <f>A30*calc!M$31</f>
        <v>0.784194523274102</v>
      </c>
      <c r="I30" s="2">
        <f>tandem!C$9-tandem!C$8*(EXP(G30/tandem!C$7/tandem!C$4)-1)</f>
        <v>0.50223695944658076</v>
      </c>
      <c r="J30" s="2">
        <f>tandem!C$16-tandem!C$15*(EXP(H30/tandem!C$14/tandem!C$4)-1)</f>
        <v>1.4977419665182503</v>
      </c>
      <c r="L30" t="s">
        <v>37</v>
      </c>
      <c r="M30" s="2">
        <v>0.57853353623583281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0.28283248763837687</v>
      </c>
      <c r="D31" s="2">
        <f>tandem!C$7*tandem!C$4*LN((M$28-C31)/tandem!C$8+1)</f>
        <v>0.55708547009601594</v>
      </c>
      <c r="E31" s="2">
        <f>tandem!C$14*tandem!C$4*LN((M$29-C31)/tandem!C$15+1)</f>
        <v>1.4413709377329209</v>
      </c>
      <c r="F31" s="2">
        <f t="shared" si="2"/>
        <v>1.9984564078289369</v>
      </c>
      <c r="G31" s="2">
        <f>A31*calc!M$30</f>
        <v>0.32397878029206639</v>
      </c>
      <c r="H31" s="2">
        <f>A31*calc!M$31</f>
        <v>0.81323876487684654</v>
      </c>
      <c r="I31" s="2">
        <f>tandem!C$9-tandem!C$8*(EXP(G31/tandem!C$7/tandem!C$4)-1)</f>
        <v>0.50222720568103363</v>
      </c>
      <c r="J31" s="2">
        <f>tandem!C$16-tandem!C$15*(EXP(H31/tandem!C$14/tandem!C$4)-1)</f>
        <v>1.4977391423187696</v>
      </c>
      <c r="L31" t="s">
        <v>39</v>
      </c>
      <c r="M31" s="2">
        <v>1.4522120801372258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0.27249501589558861</v>
      </c>
      <c r="D32" s="2">
        <f>tandem!C$7*tandem!C$4*LN((M$28-C32)/tandem!C$8+1)</f>
        <v>0.5582778080254569</v>
      </c>
      <c r="E32" s="2">
        <f>tandem!C$14*tandem!C$4*LN((M$29-C32)/tandem!C$15+1)</f>
        <v>1.4418098297520832</v>
      </c>
      <c r="F32" s="2">
        <f t="shared" si="2"/>
        <v>2.0000876377775398</v>
      </c>
      <c r="G32" s="2">
        <f>A32*calc!M$30</f>
        <v>0.33554945101678302</v>
      </c>
      <c r="H32" s="2">
        <f>A32*calc!M$31</f>
        <v>0.84228300647959087</v>
      </c>
      <c r="I32" s="2">
        <f>tandem!C$9-tandem!C$8*(EXP(G32/tandem!C$7/tandem!C$4)-1)</f>
        <v>0.50221195845687905</v>
      </c>
      <c r="J32" s="2">
        <f>tandem!C$16-tandem!C$15*(EXP(H32/tandem!C$14/tandem!C$4)-1)</f>
        <v>1.4977341946099751</v>
      </c>
      <c r="L32" t="s">
        <v>20</v>
      </c>
      <c r="M32">
        <v>2.0307456163730588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0.26194871337110726</v>
      </c>
      <c r="D33" s="2">
        <f>tandem!C$7*tandem!C$4*LN((M$28-C33)/tandem!C$8+1)</f>
        <v>0.55944017996118856</v>
      </c>
      <c r="E33" s="2">
        <f>tandem!C$14*tandem!C$4*LN((M$29-C33)/tandem!C$15+1)</f>
        <v>1.4422537884866367</v>
      </c>
      <c r="F33" s="2">
        <f t="shared" si="2"/>
        <v>2.0016939684478254</v>
      </c>
      <c r="G33" s="2">
        <f>A33*calc!M$30</f>
        <v>0.3471201217414997</v>
      </c>
      <c r="H33" s="2">
        <f>A33*calc!M$31</f>
        <v>0.87132724808233541</v>
      </c>
      <c r="I33" s="2">
        <f>tandem!C$9-tandem!C$8*(EXP(G33/tandem!C$7/tandem!C$4)-1)</f>
        <v>0.50218812378058941</v>
      </c>
      <c r="J33" s="2">
        <f>tandem!C$16-tandem!C$15*(EXP(H33/tandem!C$14/tandem!C$4)-1)</f>
        <v>1.4977255267299328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0.25118936140330383</v>
      </c>
      <c r="D34" s="2">
        <f>tandem!C$7*tandem!C$4*LN((M$28-C34)/tandem!C$8+1)</f>
        <v>0.56057460612956533</v>
      </c>
      <c r="E34" s="2">
        <f>tandem!C$14*tandem!C$4*LN((M$29-C34)/tandem!C$15+1)</f>
        <v>1.4427028284409962</v>
      </c>
      <c r="F34" s="2">
        <f t="shared" si="2"/>
        <v>2.0032774345705615</v>
      </c>
      <c r="G34" s="2">
        <f>A34*calc!M$30</f>
        <v>0.35869079246621632</v>
      </c>
      <c r="H34" s="2">
        <f>A34*calc!M$31</f>
        <v>0.90037148968507996</v>
      </c>
      <c r="I34" s="2">
        <f>tandem!C$9-tandem!C$8*(EXP(G34/tandem!C$7/tandem!C$4)-1)</f>
        <v>0.50215086507775464</v>
      </c>
      <c r="J34" s="2">
        <f>tandem!C$16-tandem!C$15*(EXP(H34/tandem!C$14/tandem!C$4)-1)</f>
        <v>1.4977103414901478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0.24021265610793122</v>
      </c>
      <c r="D35" s="2">
        <f>tandem!C$7*tandem!C$4*LN((M$28-C35)/tandem!C$8+1)</f>
        <v>0.56168291416036764</v>
      </c>
      <c r="E35" s="2">
        <f>tandem!C$14*tandem!C$4*LN((M$29-C35)/tandem!C$15+1)</f>
        <v>1.4431569631615235</v>
      </c>
      <c r="F35" s="2">
        <f t="shared" si="2"/>
        <v>2.0048398773218912</v>
      </c>
      <c r="G35" s="2">
        <f>A35*calc!M$30</f>
        <v>0.370261463190933</v>
      </c>
      <c r="H35" s="2">
        <f>A35*calc!M$31</f>
        <v>0.92941573128782451</v>
      </c>
      <c r="I35" s="2">
        <f>tandem!C$9-tandem!C$8*(EXP(G35/tandem!C$7/tandem!C$4)-1)</f>
        <v>0.50209262174690072</v>
      </c>
      <c r="J35" s="2">
        <f>tandem!C$16-tandem!C$15*(EXP(H35/tandem!C$14/tandem!C$4)-1)</f>
        <v>1.4976837385023123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0.22901420665651329</v>
      </c>
      <c r="D36" s="2">
        <f>tandem!C$7*tandem!C$4*LN((M$28-C36)/tandem!C$8+1)</f>
        <v>0.56276676279727267</v>
      </c>
      <c r="E36" s="2">
        <f>tandem!C$14*tandem!C$4*LN((M$29-C36)/tandem!C$15+1)</f>
        <v>1.443616205225984</v>
      </c>
      <c r="F36" s="2">
        <f t="shared" ref="F36:F53" si="4">D36+E36</f>
        <v>2.0063829680232566</v>
      </c>
      <c r="G36" s="2">
        <f>A36*calc!M$30</f>
        <v>0.38183213391564969</v>
      </c>
      <c r="H36" s="2">
        <f>A36*calc!M$31</f>
        <v>0.95845997289056906</v>
      </c>
      <c r="I36" s="2">
        <f>tandem!C$9-tandem!C$8*(EXP(G36/tandem!C$7/tandem!C$4)-1)</f>
        <v>0.5020015749489487</v>
      </c>
      <c r="J36" s="2">
        <f>tandem!C$16-tandem!C$15*(EXP(H36/tandem!C$14/tandem!C$4)-1)</f>
        <v>1.4976371327870388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0.21758953351995486</v>
      </c>
      <c r="D37" s="2">
        <f>tandem!C$7*tandem!C$4*LN((M$28-C37)/tandem!C$8+1)</f>
        <v>0.56382766206777224</v>
      </c>
      <c r="E37" s="2">
        <f>tandem!C$14*tandem!C$4*LN((M$29-C37)/tandem!C$15+1)</f>
        <v>1.4440805662337131</v>
      </c>
      <c r="F37" s="2">
        <f t="shared" si="4"/>
        <v>2.0079082283014853</v>
      </c>
      <c r="G37" s="2">
        <f>A37*calc!M$30</f>
        <v>0.39340280464036637</v>
      </c>
      <c r="H37" s="2">
        <f>A37*calc!M$31</f>
        <v>0.9875042144933136</v>
      </c>
      <c r="I37" s="2">
        <f>tandem!C$9-tandem!C$8*(EXP(G37/tandem!C$7/tandem!C$4)-1)</f>
        <v>0.50185924930761294</v>
      </c>
      <c r="J37" s="2">
        <f>tandem!C$16-tandem!C$15*(EXP(H37/tandem!C$14/tandem!C$4)-1)</f>
        <v>1.4975554843380159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0.2059340666766703</v>
      </c>
      <c r="D38" s="2">
        <f>tandem!C$7*tandem!C$4*LN((M$28-C38)/tandem!C$8+1)</f>
        <v>0.5648669905286211</v>
      </c>
      <c r="E38" s="2">
        <f>tandem!C$14*tandem!C$4*LN((M$29-C38)/tandem!C$15+1)</f>
        <v>1.4445500567965206</v>
      </c>
      <c r="F38" s="2">
        <f t="shared" si="4"/>
        <v>2.0094170473251416</v>
      </c>
      <c r="G38" s="2">
        <f>A38*calc!M$30</f>
        <v>0.40497347536508299</v>
      </c>
      <c r="H38" s="2">
        <f>A38*calc!M$31</f>
        <v>1.0165484560960583</v>
      </c>
      <c r="I38" s="2">
        <f>tandem!C$9-tandem!C$8*(EXP(G38/tandem!C$7/tandem!C$4)-1)</f>
        <v>0.50163676385356848</v>
      </c>
      <c r="J38" s="2">
        <f>tandem!C$16-tandem!C$15*(EXP(H38/tandem!C$14/tandem!C$4)-1)</f>
        <v>1.4974124446016068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0.19404314378451398</v>
      </c>
      <c r="D39" s="2">
        <f>tandem!C$7*tandem!C$4*LN((M$28-C39)/tandem!C$8+1)</f>
        <v>0.56588601008134021</v>
      </c>
      <c r="E39" s="2">
        <f>tandem!C$14*tandem!C$4*LN((M$29-C39)/tandem!C$15+1)</f>
        <v>1.4450246865303391</v>
      </c>
      <c r="F39" s="2">
        <f t="shared" si="4"/>
        <v>2.0109106966116794</v>
      </c>
      <c r="G39" s="2">
        <f>A39*calc!M$30</f>
        <v>0.41654414608979962</v>
      </c>
      <c r="H39" s="2">
        <f>A39*calc!M$31</f>
        <v>1.0455926976988026</v>
      </c>
      <c r="I39" s="2">
        <f>tandem!C$9-tandem!C$8*(EXP(G39/tandem!C$7/tandem!C$4)-1)</f>
        <v>0.50128897144738782</v>
      </c>
      <c r="J39" s="2">
        <f>tandem!C$16-tandem!C$15*(EXP(H39/tandem!C$14/tandem!C$4)-1)</f>
        <v>1.4971618536052465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0.18191200831578128</v>
      </c>
      <c r="D40" s="2">
        <f>tandem!C$7*tandem!C$4*LN((M$28-C40)/tandem!C$8+1)</f>
        <v>0.56688587875741436</v>
      </c>
      <c r="E40" s="2">
        <f>tandem!C$14*tandem!C$4*LN((M$29-C40)/tandem!C$15+1)</f>
        <v>1.4455044640476333</v>
      </c>
      <c r="F40" s="2">
        <f t="shared" si="4"/>
        <v>2.0123903428050478</v>
      </c>
      <c r="G40" s="2">
        <f>A40*calc!M$30</f>
        <v>0.4281148168145163</v>
      </c>
      <c r="H40" s="2">
        <f>A40*calc!M$31</f>
        <v>1.0746369393015471</v>
      </c>
      <c r="I40" s="2">
        <f>tandem!C$9-tandem!C$8*(EXP(G40/tandem!C$7/tandem!C$4)-1)</f>
        <v>0.50074529744264706</v>
      </c>
      <c r="J40" s="2">
        <f>tandem!C$16-tandem!C$15*(EXP(H40/tandem!C$14/tandem!C$4)-1)</f>
        <v>1.4967228437955713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0.16953580765453405</v>
      </c>
      <c r="D41" s="2">
        <f>tandem!C$7*tandem!C$4*LN((M$28-C41)/tandem!C$8+1)</f>
        <v>0.56786766179817716</v>
      </c>
      <c r="E41" s="2">
        <f>tandem!C$14*tandem!C$4*LN((M$29-C41)/tandem!C$15+1)</f>
        <v>1.4459893969505861</v>
      </c>
      <c r="F41" s="2">
        <f t="shared" si="4"/>
        <v>2.0138570587487634</v>
      </c>
      <c r="G41" s="2">
        <f>A41*calc!M$30</f>
        <v>0.43968548753923292</v>
      </c>
      <c r="H41" s="2">
        <f>A41*calc!M$31</f>
        <v>1.1036811809042917</v>
      </c>
      <c r="I41" s="2">
        <f>tandem!C$9-tandem!C$8*(EXP(G41/tandem!C$7/tandem!C$4)-1)</f>
        <v>0.499895418554615</v>
      </c>
      <c r="J41" s="2">
        <f>tandem!C$16-tandem!C$15*(EXP(H41/tandem!C$14/tandem!C$4)-1)</f>
        <v>1.4959537434855434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0.15690959115548955</v>
      </c>
      <c r="D42" s="2">
        <f>tandem!C$7*tandem!C$4*LN((M$28-C42)/tandem!C$8+1)</f>
        <v>0.56883234129526339</v>
      </c>
      <c r="E42" s="2">
        <f>tandem!C$14*tandem!C$4*LN((M$29-C42)/tandem!C$15+1)</f>
        <v>1.4464794918250665</v>
      </c>
      <c r="F42" s="2">
        <f t="shared" si="4"/>
        <v>2.0153118331203297</v>
      </c>
      <c r="G42" s="2">
        <f>A42*calc!M$30</f>
        <v>0.4512561582639496</v>
      </c>
      <c r="H42" s="2">
        <f>A42*calc!M$31</f>
        <v>1.1327254225070362</v>
      </c>
      <c r="I42" s="2">
        <f>tandem!C$9-tandem!C$8*(EXP(G42/tandem!C$7/tandem!C$4)-1)</f>
        <v>0.49856687586538506</v>
      </c>
      <c r="J42" s="2">
        <f>tandem!C$16-tandem!C$15*(EXP(H42/tandem!C$14/tandem!C$4)-1)</f>
        <v>1.4946063583614557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0.14402830816369633</v>
      </c>
      <c r="D43" s="2">
        <f>tandem!C$7*tandem!C$4*LN((M$28-C43)/tandem!C$8+1)</f>
        <v>0.56978082461036383</v>
      </c>
      <c r="E43" s="2">
        <f>tandem!C$14*tandem!C$4*LN((M$29-C43)/tandem!C$15+1)</f>
        <v>1.4469747542353948</v>
      </c>
      <c r="F43" s="2">
        <f t="shared" si="4"/>
        <v>2.0167555788457587</v>
      </c>
      <c r="G43" s="2">
        <f>A43*calc!M$30</f>
        <v>0.46282682898866628</v>
      </c>
      <c r="H43" s="2">
        <f>A43*calc!M$31</f>
        <v>1.1617696641097808</v>
      </c>
      <c r="I43" s="2">
        <f>tandem!C$9-tandem!C$8*(EXP(G43/tandem!C$7/tandem!C$4)-1)</f>
        <v>0.49649007915709953</v>
      </c>
      <c r="J43" s="2">
        <f>tandem!C$16-tandem!C$15*(EXP(H43/tandem!C$14/tandem!C$4)-1)</f>
        <v>1.4922458773566476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0.13088680599420516</v>
      </c>
      <c r="D44" s="2">
        <f>tandem!C$7*tandem!C$4*LN((M$28-C44)/tandem!C$8+1)</f>
        <v>0.57071395175519879</v>
      </c>
      <c r="E44" s="2">
        <f>tandem!C$14*tandem!C$4*LN((M$29-C44)/tandem!C$15+1)</f>
        <v>1.447475188719912</v>
      </c>
      <c r="F44" s="2">
        <f t="shared" si="4"/>
        <v>2.0181891404751107</v>
      </c>
      <c r="G44" s="2">
        <f>A44*calc!M$30</f>
        <v>0.47439749971338296</v>
      </c>
      <c r="H44" s="2">
        <f>A44*calc!M$31</f>
        <v>1.1908139057125253</v>
      </c>
      <c r="I44" s="2">
        <f>tandem!C$9-tandem!C$8*(EXP(G44/tandem!C$7/tandem!C$4)-1)</f>
        <v>0.49324360119104671</v>
      </c>
      <c r="J44" s="2">
        <f>tandem!C$16-tandem!C$15*(EXP(H44/tandem!C$14/tandem!C$4)-1)</f>
        <v>1.4881105559296475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0.1174798278709259</v>
      </c>
      <c r="D45" s="2">
        <f>tandem!C$7*tandem!C$4*LN((M$28-C45)/tandem!C$8+1)</f>
        <v>0.57163250188209569</v>
      </c>
      <c r="E45" s="2">
        <f>tandem!C$14*tandem!C$4*LN((M$29-C45)/tandem!C$15+1)</f>
        <v>1.4479807987873607</v>
      </c>
      <c r="F45" s="2">
        <f t="shared" si="4"/>
        <v>2.0196133006694565</v>
      </c>
      <c r="G45" s="2">
        <f>A45*calc!M$30</f>
        <v>0.48596817043809953</v>
      </c>
      <c r="H45" s="2">
        <f>A45*calc!M$31</f>
        <v>1.2198581473152696</v>
      </c>
      <c r="I45" s="2">
        <f>tandem!C$9-tandem!C$8*(EXP(G45/tandem!C$7/tandem!C$4)-1)</f>
        <v>0.48816866095158196</v>
      </c>
      <c r="J45" s="2">
        <f>tandem!C$16-tandem!C$15*(EXP(H45/tandem!C$14/tandem!C$4)-1)</f>
        <v>1.480865895510957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0.10380201082384682</v>
      </c>
      <c r="D46" s="2">
        <f>tandem!C$7*tandem!C$4*LN((M$28-C46)/tandem!C$8+1)</f>
        <v>0.57253719901077516</v>
      </c>
      <c r="E46" s="2">
        <f>tandem!C$14*tandem!C$4*LN((M$29-C46)/tandem!C$15+1)</f>
        <v>1.4484915869140826</v>
      </c>
      <c r="F46" s="2">
        <f t="shared" si="4"/>
        <v>2.0210287859248579</v>
      </c>
      <c r="G46" s="2">
        <f>A46*calc!M$30</f>
        <v>0.49753884116281621</v>
      </c>
      <c r="H46" s="2">
        <f>A46*calc!M$31</f>
        <v>1.2489023889180142</v>
      </c>
      <c r="I46" s="2">
        <f>tandem!C$9-tandem!C$8*(EXP(G46/tandem!C$7/tandem!C$4)-1)</f>
        <v>0.48023544264440432</v>
      </c>
      <c r="J46" s="2">
        <f>tandem!C$16-tandem!C$15*(EXP(H46/tandem!C$14/tandem!C$4)-1)</f>
        <v>1.4681739910221163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8.9847883543775944E-2</v>
      </c>
      <c r="D47" s="2">
        <f>tandem!C$7*tandem!C$4*LN((M$28-C47)/tandem!C$8+1)</f>
        <v>0.57342871709673349</v>
      </c>
      <c r="E47" s="2">
        <f>tandem!C$14*tandem!C$4*LN((M$29-C47)/tandem!C$15+1)</f>
        <v>1.4490075545420407</v>
      </c>
      <c r="F47" s="2">
        <f t="shared" si="4"/>
        <v>2.022436271638774</v>
      </c>
      <c r="G47" s="2">
        <f>A47*calc!M$30</f>
        <v>0.50910951188753284</v>
      </c>
      <c r="H47" s="2">
        <f>A47*calc!M$31</f>
        <v>1.2779466305207587</v>
      </c>
      <c r="I47" s="2">
        <f>tandem!C$9-tandem!C$8*(EXP(G47/tandem!C$7/tandem!C$4)-1)</f>
        <v>0.46783412366533084</v>
      </c>
      <c r="J47" s="2">
        <f>tandem!C$16-tandem!C$15*(EXP(H47/tandem!C$14/tandem!C$4)-1)</f>
        <v>1.4459390717513285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7.5611864193743633E-2</v>
      </c>
      <c r="D48" s="2">
        <f>tandem!C$7*tandem!C$4*LN((M$28-C48)/tandem!C$8+1)</f>
        <v>0.57430768453002234</v>
      </c>
      <c r="E48" s="2">
        <f>tandem!C$14*tandem!C$4*LN((M$29-C48)/tandem!C$15+1)</f>
        <v>1.4495287020776657</v>
      </c>
      <c r="F48" s="2">
        <f t="shared" si="4"/>
        <v>2.0238363866076883</v>
      </c>
      <c r="G48" s="2">
        <f>A48*calc!M$30</f>
        <v>0.52068018261224958</v>
      </c>
      <c r="H48" s="2">
        <f>A48*calc!M$31</f>
        <v>1.3069908721235033</v>
      </c>
      <c r="I48" s="2">
        <f>tandem!C$9-tandem!C$8*(EXP(G48/tandem!C$7/tandem!C$4)-1)</f>
        <v>0.44844820656765227</v>
      </c>
      <c r="J48" s="2">
        <f>tandem!C$16-tandem!C$15*(EXP(H48/tandem!C$14/tandem!C$4)-1)</f>
        <v>1.4069857660899803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6.1088258176193955E-2</v>
      </c>
      <c r="D49" s="2">
        <f>tandem!C$7*tandem!C$4*LN((M$28-C49)/tandem!C$8+1)</f>
        <v>0.57517468813956285</v>
      </c>
      <c r="E49" s="2">
        <f>tandem!C$14*tandem!C$4*LN((M$29-C49)/tandem!C$15+1)</f>
        <v>1.4500550288915319</v>
      </c>
      <c r="F49" s="2">
        <f t="shared" si="4"/>
        <v>2.0252297170310949</v>
      </c>
      <c r="G49" s="2">
        <f>A49*calc!M$30</f>
        <v>0.5322508533369662</v>
      </c>
      <c r="H49" s="2">
        <f>A49*calc!M$31</f>
        <v>1.3360351137262478</v>
      </c>
      <c r="I49" s="2">
        <f>tandem!C$9-tandem!C$8*(EXP(G49/tandem!C$7/tandem!C$4)-1)</f>
        <v>0.41814386697666051</v>
      </c>
      <c r="J49" s="2">
        <f>tandem!C$16-tandem!C$15*(EXP(H49/tandem!C$14/tandem!C$4)-1)</f>
        <v>1.338743556461635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4.6271255855069103E-2</v>
      </c>
      <c r="D50" s="2">
        <f>tandem!C$7*tandem!C$4*LN((M$28-C50)/tandem!C$8+1)</f>
        <v>0.57603027676681295</v>
      </c>
      <c r="E50" s="2">
        <f>tandem!C$14*tandem!C$4*LN((M$29-C50)/tandem!C$15+1)</f>
        <v>1.4505865333188588</v>
      </c>
      <c r="F50" s="2">
        <f t="shared" si="4"/>
        <v>2.0266168100856716</v>
      </c>
      <c r="G50" s="2">
        <f>A50*calc!M$30</f>
        <v>0.54382152406168283</v>
      </c>
      <c r="H50" s="2">
        <f>A50*calc!M$31</f>
        <v>1.3650793553289924</v>
      </c>
      <c r="I50" s="2">
        <f>tandem!C$9-tandem!C$8*(EXP(G50/tandem!C$7/tandem!C$4)-1)</f>
        <v>0.3707716950325155</v>
      </c>
      <c r="J50" s="2">
        <f>tandem!C$16-tandem!C$15*(EXP(H50/tandem!C$14/tandem!C$4)-1)</f>
        <v>1.2191901810576082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3.1154930231878073E-2</v>
      </c>
      <c r="D51" s="2">
        <f>tandem!C$7*tandem!C$4*LN((M$28-C51)/tandem!C$8+1)</f>
        <v>0.57687496446320263</v>
      </c>
      <c r="E51" s="2">
        <f>tandem!C$14*tandem!C$4*LN((M$29-C51)/tandem!C$15+1)</f>
        <v>1.4511232126608444</v>
      </c>
      <c r="F51" s="2">
        <f t="shared" si="4"/>
        <v>2.0279981771240472</v>
      </c>
      <c r="G51" s="2">
        <f>A51*calc!M$30</f>
        <v>0.55539219478639945</v>
      </c>
      <c r="H51" s="2">
        <f>A51*calc!M$31</f>
        <v>1.3941235969317367</v>
      </c>
      <c r="I51" s="2">
        <f>tandem!C$9-tandem!C$8*(EXP(G51/tandem!C$7/tandem!C$4)-1)</f>
        <v>0.29671884633183998</v>
      </c>
      <c r="J51" s="2">
        <f>tandem!C$16-tandem!C$15*(EXP(H51/tandem!C$14/tandem!C$4)-1)</f>
        <v>1.0097448883518543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1.57332345748178E-2</v>
      </c>
      <c r="D52" s="2">
        <f>tandem!C$7*tandem!C$4*LN((M$28-C52)/tandem!C$8+1)</f>
        <v>0.57770923335789326</v>
      </c>
      <c r="E52" s="2">
        <f>tandem!C$14*tandem!C$4*LN((M$29-C52)/tandem!C$15+1)</f>
        <v>1.4516650631868191</v>
      </c>
      <c r="F52" s="2">
        <f t="shared" si="4"/>
        <v>2.0293742965447121</v>
      </c>
      <c r="G52" s="2">
        <f>A52*calc!M$30</f>
        <v>0.56696286551111619</v>
      </c>
      <c r="H52" s="2">
        <f>A52*calc!M$31</f>
        <v>1.4231678385344813</v>
      </c>
      <c r="I52" s="2">
        <f>tandem!C$9-tandem!C$8*(EXP(G52/tandem!C$7/tandem!C$4)-1)</f>
        <v>0.18095838664358482</v>
      </c>
      <c r="J52" s="2">
        <f>tandem!C$16-tandem!C$15*(EXP(H52/tandem!C$14/tandem!C$4)-1)</f>
        <v>0.64281814547779315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tandem!C$7*tandem!C$4*LN((M$28-C53)/tandem!C$8+1)</f>
        <v>0.57853353623583281</v>
      </c>
      <c r="E53" s="2">
        <f>tandem!C$14*tandem!C$4*LN((M$29-C53)/tandem!C$15+1)</f>
        <v>1.4522120801372258</v>
      </c>
      <c r="F53" s="2">
        <f t="shared" si="4"/>
        <v>2.0307456163730588</v>
      </c>
      <c r="G53" s="2">
        <f>A53*calc!M$30</f>
        <v>0.57853353623583281</v>
      </c>
      <c r="H53" s="2">
        <f>A53*calc!M$31</f>
        <v>1.4522120801372258</v>
      </c>
      <c r="I53" s="2">
        <f>tandem!C$9-tandem!C$8*(EXP(G53/tandem!C$7/tandem!C$4)-1)</f>
        <v>0</v>
      </c>
      <c r="J53" s="2">
        <f>tandem!C$16-tandem!C$15*(EXP(H53/tandem!C$14/tandem!C$4)-1)</f>
        <v>0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tandem</vt:lpstr>
      <vt:lpstr>calc</vt:lpstr>
      <vt:lpstr>A1_coef</vt:lpstr>
      <vt:lpstr>A2_coef</vt:lpstr>
      <vt:lpstr>B_coef</vt:lpstr>
      <vt:lpstr>confirm_each</vt:lpstr>
      <vt:lpstr>dP_dIm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P1_mW</vt:lpstr>
      <vt:lpstr>P1m_mW</vt:lpstr>
      <vt:lpstr>P2m_mW</vt:lpstr>
      <vt:lpstr>Pm_mW</vt:lpstr>
      <vt:lpstr>r_1</vt:lpstr>
      <vt:lpstr>r_2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2024-03-31T14:07:22Z</dcterms:modified>
</cp:coreProperties>
</file>