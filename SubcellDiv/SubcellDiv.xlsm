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3/Documents/calcs/SQ_multijunc/SubcellDiv/"/>
    </mc:Choice>
  </mc:AlternateContent>
  <xr:revisionPtr revIDLastSave="0" documentId="13_ncr:1_{AC9B35D9-AE0B-A643-A5C7-219F865E59BB}" xr6:coauthVersionLast="47" xr6:coauthVersionMax="47" xr10:uidLastSave="{00000000-0000-0000-0000-000000000000}"/>
  <bookViews>
    <workbookView xWindow="340" yWindow="500" windowWidth="27540" windowHeight="16920" xr2:uid="{F39901F2-9B9C-3F40-87C6-17C8C951FC81}"/>
  </bookViews>
  <sheets>
    <sheet name="tandem" sheetId="1" r:id="rId1"/>
    <sheet name="calc" sheetId="4" r:id="rId2"/>
  </sheets>
  <definedNames>
    <definedName name="confirm_each">tandem!$E$23</definedName>
    <definedName name="dP_dIm">tandem!$C$42</definedName>
    <definedName name="I0_1_mA">tandem!$C$8</definedName>
    <definedName name="I0_2_mA">tandem!$C$15</definedName>
    <definedName name="I1m_mA">tandem!$F$8</definedName>
    <definedName name="I2m_mA">tandem!$F$15</definedName>
    <definedName name="Ierror">tandem!$F$31</definedName>
    <definedName name="Im_mA">tandem!$C$22</definedName>
    <definedName name="Ip_1_mA">tandem!$C$9</definedName>
    <definedName name="Ip_2_mA">tandem!$C$16</definedName>
    <definedName name="Ip_mA">tandem!$C$3</definedName>
    <definedName name="Isc_mA">tandem!$C$26</definedName>
    <definedName name="kT_eV">tandem!$C$4</definedName>
    <definedName name="n_1">tandem!$C$7</definedName>
    <definedName name="n_2">tandem!$C$14</definedName>
    <definedName name="P1_mW">tandem!$C$11</definedName>
    <definedName name="P1m_mW">tandem!$F$9</definedName>
    <definedName name="P2m_mW">tandem!$F$16</definedName>
    <definedName name="Pm_mW">tandem!$C$23</definedName>
    <definedName name="solver_adj" localSheetId="0" hidden="1">tandem!$F$15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tandem!$C$22</definedName>
    <definedName name="solver_lhs2" localSheetId="0" hidden="1">tandem!$C$22</definedName>
    <definedName name="solver_lin" localSheetId="0" hidden="1">2</definedName>
    <definedName name="solver_mip" localSheetId="0" hidden="1">2147483647</definedName>
    <definedName name="solver_mni" localSheetId="0" hidden="1">2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tandem!$F$16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hs1" localSheetId="0" hidden="1">tandem!#REF!</definedName>
    <definedName name="solver_rhs2" localSheetId="0" hidden="1">tandem!#REF!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4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  <definedName name="SolveState">tandem!$D$34</definedName>
    <definedName name="u">tandem!$F$30</definedName>
    <definedName name="V1_V">tandem!$C$10</definedName>
    <definedName name="V1m_V">tandem!$F$7</definedName>
    <definedName name="V1oc_V">tandem!$F$10</definedName>
    <definedName name="V2_V">tandem!$C$17</definedName>
    <definedName name="V2m_V">tandem!$F$14</definedName>
    <definedName name="V2oc_V">tandem!$F$17</definedName>
    <definedName name="Voc_V">tandem!$C$25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4" l="1"/>
  <c r="C5" i="4"/>
  <c r="C6" i="4"/>
  <c r="E6" i="4" s="1"/>
  <c r="C7" i="4"/>
  <c r="D7" i="4" s="1"/>
  <c r="C8" i="4"/>
  <c r="C9" i="4"/>
  <c r="C10" i="4"/>
  <c r="D10" i="4" s="1"/>
  <c r="C11" i="4"/>
  <c r="D11" i="4" s="1"/>
  <c r="C12" i="4"/>
  <c r="C13" i="4"/>
  <c r="C14" i="4"/>
  <c r="E14" i="4" s="1"/>
  <c r="C15" i="4"/>
  <c r="D15" i="4" s="1"/>
  <c r="C16" i="4"/>
  <c r="C17" i="4"/>
  <c r="D17" i="4" s="1"/>
  <c r="C18" i="4"/>
  <c r="E18" i="4" s="1"/>
  <c r="C19" i="4"/>
  <c r="E19" i="4" s="1"/>
  <c r="C20" i="4"/>
  <c r="C21" i="4"/>
  <c r="C22" i="4"/>
  <c r="E22" i="4" s="1"/>
  <c r="C23" i="4"/>
  <c r="D23" i="4" s="1"/>
  <c r="C24" i="4"/>
  <c r="C25" i="4"/>
  <c r="C26" i="4"/>
  <c r="D26" i="4" s="1"/>
  <c r="C27" i="4"/>
  <c r="D27" i="4" s="1"/>
  <c r="C28" i="4"/>
  <c r="C29" i="4"/>
  <c r="C30" i="4"/>
  <c r="C31" i="4"/>
  <c r="D31" i="4" s="1"/>
  <c r="C32" i="4"/>
  <c r="C33" i="4"/>
  <c r="C34" i="4"/>
  <c r="E34" i="4" s="1"/>
  <c r="C35" i="4"/>
  <c r="E35" i="4" s="1"/>
  <c r="C36" i="4"/>
  <c r="C37" i="4"/>
  <c r="C38" i="4"/>
  <c r="E38" i="4" s="1"/>
  <c r="C39" i="4"/>
  <c r="D39" i="4" s="1"/>
  <c r="C40" i="4"/>
  <c r="C41" i="4"/>
  <c r="C42" i="4"/>
  <c r="D42" i="4" s="1"/>
  <c r="C43" i="4"/>
  <c r="D43" i="4" s="1"/>
  <c r="C44" i="4"/>
  <c r="C45" i="4"/>
  <c r="D45" i="4" s="1"/>
  <c r="C46" i="4"/>
  <c r="E46" i="4" s="1"/>
  <c r="C47" i="4"/>
  <c r="D47" i="4" s="1"/>
  <c r="C48" i="4"/>
  <c r="C49" i="4"/>
  <c r="C50" i="4"/>
  <c r="E50" i="4" s="1"/>
  <c r="C51" i="4"/>
  <c r="E51" i="4" s="1"/>
  <c r="C52" i="4"/>
  <c r="C53" i="4"/>
  <c r="C3" i="4"/>
  <c r="E3" i="4" s="1"/>
  <c r="D5" i="4"/>
  <c r="D8" i="4"/>
  <c r="E8" i="4"/>
  <c r="D9" i="4"/>
  <c r="D12" i="4"/>
  <c r="E12" i="4"/>
  <c r="D13" i="4"/>
  <c r="D16" i="4"/>
  <c r="E16" i="4"/>
  <c r="D20" i="4"/>
  <c r="E20" i="4"/>
  <c r="D21" i="4"/>
  <c r="D24" i="4"/>
  <c r="E24" i="4"/>
  <c r="D25" i="4"/>
  <c r="E26" i="4"/>
  <c r="D28" i="4"/>
  <c r="E28" i="4"/>
  <c r="D29" i="4"/>
  <c r="E30" i="4"/>
  <c r="D30" i="4"/>
  <c r="D32" i="4"/>
  <c r="E32" i="4"/>
  <c r="D33" i="4"/>
  <c r="D34" i="4"/>
  <c r="D36" i="4"/>
  <c r="E36" i="4"/>
  <c r="D37" i="4"/>
  <c r="D40" i="4"/>
  <c r="E40" i="4"/>
  <c r="D41" i="4"/>
  <c r="D44" i="4"/>
  <c r="E44" i="4"/>
  <c r="D48" i="4"/>
  <c r="E48" i="4"/>
  <c r="D49" i="4"/>
  <c r="D52" i="4"/>
  <c r="E52" i="4"/>
  <c r="D53" i="4"/>
  <c r="E4" i="4"/>
  <c r="D4" i="4"/>
  <c r="C44" i="1"/>
  <c r="C45" i="1" s="1"/>
  <c r="B58" i="1" s="1"/>
  <c r="B3" i="4"/>
  <c r="G3" i="4"/>
  <c r="H3" i="4"/>
  <c r="B4" i="4"/>
  <c r="G4" i="4"/>
  <c r="H4" i="4"/>
  <c r="B5" i="4"/>
  <c r="G5" i="4"/>
  <c r="H5" i="4"/>
  <c r="B6" i="4"/>
  <c r="G6" i="4"/>
  <c r="H6" i="4"/>
  <c r="B7" i="4"/>
  <c r="G7" i="4"/>
  <c r="H7" i="4"/>
  <c r="B8" i="4"/>
  <c r="G8" i="4"/>
  <c r="H8" i="4"/>
  <c r="B9" i="4"/>
  <c r="G9" i="4"/>
  <c r="H9" i="4"/>
  <c r="B10" i="4"/>
  <c r="G10" i="4"/>
  <c r="H10" i="4"/>
  <c r="B11" i="4"/>
  <c r="G11" i="4"/>
  <c r="H11" i="4"/>
  <c r="B12" i="4"/>
  <c r="G12" i="4"/>
  <c r="H12" i="4"/>
  <c r="B13" i="4"/>
  <c r="G13" i="4"/>
  <c r="H13" i="4"/>
  <c r="B14" i="4"/>
  <c r="G14" i="4"/>
  <c r="H14" i="4"/>
  <c r="B15" i="4"/>
  <c r="G15" i="4"/>
  <c r="H15" i="4"/>
  <c r="B16" i="4"/>
  <c r="G16" i="4"/>
  <c r="H16" i="4"/>
  <c r="B17" i="4"/>
  <c r="G17" i="4"/>
  <c r="H17" i="4"/>
  <c r="B18" i="4"/>
  <c r="G18" i="4"/>
  <c r="H18" i="4"/>
  <c r="B19" i="4"/>
  <c r="G19" i="4"/>
  <c r="H19" i="4"/>
  <c r="B20" i="4"/>
  <c r="G20" i="4"/>
  <c r="H20" i="4"/>
  <c r="B21" i="4"/>
  <c r="G21" i="4"/>
  <c r="H21" i="4"/>
  <c r="B22" i="4"/>
  <c r="G22" i="4"/>
  <c r="H22" i="4"/>
  <c r="B23" i="4"/>
  <c r="G23" i="4"/>
  <c r="H23" i="4"/>
  <c r="B24" i="4"/>
  <c r="G24" i="4"/>
  <c r="H24" i="4"/>
  <c r="B25" i="4"/>
  <c r="G25" i="4"/>
  <c r="H25" i="4"/>
  <c r="B26" i="4"/>
  <c r="G26" i="4"/>
  <c r="H26" i="4"/>
  <c r="B27" i="4"/>
  <c r="G27" i="4"/>
  <c r="H27" i="4"/>
  <c r="B28" i="4"/>
  <c r="G28" i="4"/>
  <c r="H28" i="4"/>
  <c r="B29" i="4"/>
  <c r="G29" i="4"/>
  <c r="H29" i="4"/>
  <c r="B30" i="4"/>
  <c r="G30" i="4"/>
  <c r="H30" i="4"/>
  <c r="B31" i="4"/>
  <c r="G31" i="4"/>
  <c r="H31" i="4"/>
  <c r="B32" i="4"/>
  <c r="G32" i="4"/>
  <c r="H32" i="4"/>
  <c r="B33" i="4"/>
  <c r="G33" i="4"/>
  <c r="H33" i="4"/>
  <c r="B34" i="4"/>
  <c r="G34" i="4"/>
  <c r="H34" i="4"/>
  <c r="B35" i="4"/>
  <c r="G35" i="4"/>
  <c r="H35" i="4"/>
  <c r="B36" i="4"/>
  <c r="G36" i="4"/>
  <c r="H36" i="4"/>
  <c r="B37" i="4"/>
  <c r="G37" i="4"/>
  <c r="H37" i="4"/>
  <c r="B38" i="4"/>
  <c r="G38" i="4"/>
  <c r="H38" i="4"/>
  <c r="B39" i="4"/>
  <c r="G39" i="4"/>
  <c r="H39" i="4"/>
  <c r="B40" i="4"/>
  <c r="G40" i="4"/>
  <c r="H40" i="4"/>
  <c r="B41" i="4"/>
  <c r="G41" i="4"/>
  <c r="H41" i="4"/>
  <c r="B42" i="4"/>
  <c r="G42" i="4"/>
  <c r="H42" i="4"/>
  <c r="B43" i="4"/>
  <c r="G43" i="4"/>
  <c r="H43" i="4"/>
  <c r="B44" i="4"/>
  <c r="G44" i="4"/>
  <c r="H44" i="4"/>
  <c r="B45" i="4"/>
  <c r="G45" i="4"/>
  <c r="H45" i="4"/>
  <c r="B46" i="4"/>
  <c r="G46" i="4"/>
  <c r="H46" i="4"/>
  <c r="B47" i="4"/>
  <c r="G47" i="4"/>
  <c r="H47" i="4"/>
  <c r="B48" i="4"/>
  <c r="G48" i="4"/>
  <c r="H48" i="4"/>
  <c r="B49" i="4"/>
  <c r="G49" i="4"/>
  <c r="H49" i="4"/>
  <c r="B50" i="4"/>
  <c r="G50" i="4"/>
  <c r="H50" i="4"/>
  <c r="B51" i="4"/>
  <c r="G51" i="4"/>
  <c r="H51" i="4"/>
  <c r="B52" i="4"/>
  <c r="G52" i="4"/>
  <c r="H52" i="4"/>
  <c r="B53" i="4"/>
  <c r="G53" i="4"/>
  <c r="H53" i="4"/>
  <c r="D51" i="4" l="1"/>
  <c r="F51" i="4" s="1"/>
  <c r="E23" i="4"/>
  <c r="F23" i="4" s="1"/>
  <c r="D19" i="4"/>
  <c r="D3" i="4"/>
  <c r="D50" i="4"/>
  <c r="D46" i="4"/>
  <c r="D18" i="4"/>
  <c r="D14" i="4"/>
  <c r="E42" i="4"/>
  <c r="E39" i="4"/>
  <c r="F39" i="4" s="1"/>
  <c r="D35" i="4"/>
  <c r="F35" i="4" s="1"/>
  <c r="E10" i="4"/>
  <c r="E7" i="4"/>
  <c r="E43" i="4"/>
  <c r="E27" i="4"/>
  <c r="E11" i="4"/>
  <c r="E47" i="4"/>
  <c r="D38" i="4"/>
  <c r="E31" i="4"/>
  <c r="D22" i="4"/>
  <c r="E15" i="4"/>
  <c r="D6" i="4"/>
  <c r="E45" i="4"/>
  <c r="F45" i="4" s="1"/>
  <c r="E41" i="4"/>
  <c r="F41" i="4" s="1"/>
  <c r="E37" i="4"/>
  <c r="F37" i="4" s="1"/>
  <c r="E33" i="4"/>
  <c r="F33" i="4" s="1"/>
  <c r="E29" i="4"/>
  <c r="F29" i="4" s="1"/>
  <c r="E25" i="4"/>
  <c r="F25" i="4" s="1"/>
  <c r="E21" i="4"/>
  <c r="F21" i="4" s="1"/>
  <c r="E17" i="4"/>
  <c r="F17" i="4" s="1"/>
  <c r="E13" i="4"/>
  <c r="F13" i="4" s="1"/>
  <c r="E9" i="4"/>
  <c r="F9" i="4" s="1"/>
  <c r="E5" i="4"/>
  <c r="F5" i="4" s="1"/>
  <c r="E53" i="4"/>
  <c r="F53" i="4" s="1"/>
  <c r="E49" i="4"/>
  <c r="F49" i="4" s="1"/>
  <c r="C58" i="1"/>
  <c r="C51" i="1" s="1"/>
  <c r="B51" i="1"/>
  <c r="C46" i="1"/>
  <c r="F16" i="4" l="1"/>
  <c r="F4" i="4"/>
  <c r="F8" i="4"/>
  <c r="F31" i="4"/>
  <c r="F43" i="4"/>
  <c r="F20" i="4"/>
  <c r="F27" i="4"/>
  <c r="F47" i="4"/>
  <c r="F34" i="4"/>
  <c r="F50" i="4"/>
  <c r="F10" i="4"/>
  <c r="F46" i="4"/>
  <c r="F42" i="4"/>
  <c r="F12" i="4"/>
  <c r="F32" i="4"/>
  <c r="F48" i="4"/>
  <c r="F7" i="4"/>
  <c r="F15" i="4"/>
  <c r="F44" i="4"/>
  <c r="F22" i="4"/>
  <c r="F6" i="4"/>
  <c r="F24" i="4"/>
  <c r="B55" i="1"/>
  <c r="B57" i="1"/>
  <c r="B56" i="1"/>
  <c r="F28" i="4"/>
  <c r="F11" i="4"/>
  <c r="F19" i="4"/>
  <c r="F14" i="4"/>
  <c r="F38" i="4"/>
  <c r="F26" i="4"/>
  <c r="F40" i="4"/>
  <c r="F36" i="4"/>
  <c r="F52" i="4"/>
  <c r="F18" i="4"/>
  <c r="F30" i="4"/>
  <c r="C57" i="1" l="1"/>
  <c r="C50" i="1" s="1"/>
  <c r="B50" i="1"/>
  <c r="C55" i="1"/>
  <c r="B48" i="1"/>
  <c r="C48" i="1" s="1"/>
  <c r="C56" i="1"/>
  <c r="C49" i="1" s="1"/>
  <c r="B49" i="1"/>
  <c r="C52" i="1" l="1"/>
  <c r="C59" i="1"/>
  <c r="C60" i="1" s="1"/>
  <c r="C53" i="1" s="1"/>
  <c r="C5" i="1" l="1"/>
  <c r="C16" i="1" s="1"/>
  <c r="F14" i="1" s="1"/>
  <c r="F29" i="1" l="1"/>
  <c r="F16" i="1"/>
  <c r="C17" i="1"/>
  <c r="C18" i="1" s="1"/>
  <c r="J9" i="4"/>
  <c r="J25" i="4"/>
  <c r="J41" i="4"/>
  <c r="J38" i="4"/>
  <c r="J14" i="4"/>
  <c r="J46" i="4"/>
  <c r="J15" i="4"/>
  <c r="J31" i="4"/>
  <c r="J47" i="4"/>
  <c r="J50" i="4"/>
  <c r="J16" i="4"/>
  <c r="J32" i="4"/>
  <c r="J48" i="4"/>
  <c r="J13" i="4"/>
  <c r="J18" i="4"/>
  <c r="J35" i="4"/>
  <c r="J20" i="4"/>
  <c r="J17" i="4"/>
  <c r="J33" i="4"/>
  <c r="J49" i="4"/>
  <c r="J6" i="4"/>
  <c r="J22" i="4"/>
  <c r="J7" i="4"/>
  <c r="J23" i="4"/>
  <c r="J39" i="4"/>
  <c r="J26" i="4"/>
  <c r="J8" i="4"/>
  <c r="J24" i="4"/>
  <c r="J40" i="4"/>
  <c r="J21" i="4"/>
  <c r="J37" i="4"/>
  <c r="J53" i="4"/>
  <c r="J10" i="4"/>
  <c r="J30" i="4"/>
  <c r="J11" i="4"/>
  <c r="J43" i="4"/>
  <c r="J34" i="4"/>
  <c r="J28" i="4"/>
  <c r="J29" i="4"/>
  <c r="J42" i="4"/>
  <c r="J19" i="4"/>
  <c r="J4" i="4"/>
  <c r="J52" i="4"/>
  <c r="J5" i="4"/>
  <c r="J27" i="4"/>
  <c r="J12" i="4"/>
  <c r="J44" i="4"/>
  <c r="J45" i="4"/>
  <c r="J3" i="4"/>
  <c r="J51" i="4"/>
  <c r="J36" i="4"/>
  <c r="C9" i="1"/>
  <c r="F17" i="1"/>
  <c r="F18" i="1"/>
  <c r="F28" i="1" l="1"/>
  <c r="C26" i="1" s="1"/>
  <c r="C10" i="1"/>
  <c r="I18" i="4"/>
  <c r="I34" i="4"/>
  <c r="I50" i="4"/>
  <c r="I11" i="4"/>
  <c r="I27" i="4"/>
  <c r="I8" i="4"/>
  <c r="I24" i="4"/>
  <c r="I47" i="4"/>
  <c r="I33" i="4"/>
  <c r="I5" i="4"/>
  <c r="I6" i="4"/>
  <c r="I22" i="4"/>
  <c r="I38" i="4"/>
  <c r="I15" i="4"/>
  <c r="I35" i="4"/>
  <c r="I12" i="4"/>
  <c r="I28" i="4"/>
  <c r="I44" i="4"/>
  <c r="I53" i="4"/>
  <c r="I10" i="4"/>
  <c r="I26" i="4"/>
  <c r="I42" i="4"/>
  <c r="I3" i="4"/>
  <c r="I19" i="4"/>
  <c r="I43" i="4"/>
  <c r="I16" i="4"/>
  <c r="I32" i="4"/>
  <c r="I48" i="4"/>
  <c r="I9" i="4"/>
  <c r="I25" i="4"/>
  <c r="I41" i="4"/>
  <c r="I31" i="4"/>
  <c r="I17" i="4"/>
  <c r="I49" i="4"/>
  <c r="I21" i="4"/>
  <c r="I14" i="4"/>
  <c r="I30" i="4"/>
  <c r="I46" i="4"/>
  <c r="I7" i="4"/>
  <c r="I23" i="4"/>
  <c r="I4" i="4"/>
  <c r="I20" i="4"/>
  <c r="I36" i="4"/>
  <c r="I52" i="4"/>
  <c r="I13" i="4"/>
  <c r="I29" i="4"/>
  <c r="I45" i="4"/>
  <c r="I39" i="4"/>
  <c r="I40" i="4"/>
  <c r="I51" i="4"/>
  <c r="I37" i="4"/>
  <c r="C25" i="1"/>
  <c r="F11" i="1"/>
  <c r="F7" i="1"/>
  <c r="F9" i="1" s="1"/>
  <c r="F10" i="1"/>
  <c r="C21" i="1" l="1"/>
  <c r="C23" i="1" s="1"/>
  <c r="C11" i="1"/>
  <c r="F31" i="1"/>
</calcChain>
</file>

<file path=xl/sharedStrings.xml><?xml version="1.0" encoding="utf-8"?>
<sst xmlns="http://schemas.openxmlformats.org/spreadsheetml/2006/main" count="64" uniqueCount="53">
  <si>
    <t>Ip (mA)</t>
  </si>
  <si>
    <t>kT (eV)</t>
  </si>
  <si>
    <t>Ip_1 (mA)</t>
  </si>
  <si>
    <t>Ip_2 (mA)</t>
  </si>
  <si>
    <t>V1 (V)</t>
  </si>
  <si>
    <t>V2(V)</t>
  </si>
  <si>
    <t>I0_1 (mA)</t>
  </si>
  <si>
    <t>I0_2 (mA)</t>
  </si>
  <si>
    <t>I (mA)</t>
  </si>
  <si>
    <t>n_1</t>
  </si>
  <si>
    <t>n_2</t>
  </si>
  <si>
    <t>n_1+n_2</t>
  </si>
  <si>
    <t>f</t>
  </si>
  <si>
    <t>1-f</t>
  </si>
  <si>
    <t>I_p1</t>
  </si>
  <si>
    <t>I_p2</t>
  </si>
  <si>
    <t>V (V)</t>
  </si>
  <si>
    <t>V2 (V)</t>
  </si>
  <si>
    <t>Isc (mA)</t>
  </si>
  <si>
    <t>u</t>
  </si>
  <si>
    <t>m1</t>
  </si>
  <si>
    <t>m2</t>
  </si>
  <si>
    <t>Voc (V)</t>
  </si>
  <si>
    <t>I_1</t>
  </si>
  <si>
    <t>I_2</t>
  </si>
  <si>
    <t>Ierror</t>
  </si>
  <si>
    <t>max. power point</t>
  </si>
  <si>
    <t>solve for Isc:</t>
  </si>
  <si>
    <t>Vm (V)</t>
  </si>
  <si>
    <t>Im (mA)</t>
  </si>
  <si>
    <t>cell 1:</t>
  </si>
  <si>
    <t>V1m (V)</t>
  </si>
  <si>
    <t>I1m (mA)</t>
  </si>
  <si>
    <t>P1m (mW)</t>
  </si>
  <si>
    <t>Pm (mW)</t>
  </si>
  <si>
    <t>V2m (V)</t>
  </si>
  <si>
    <t>cell 2:</t>
  </si>
  <si>
    <t>I2m (mA)</t>
  </si>
  <si>
    <t>P2m (mW)</t>
  </si>
  <si>
    <t>I1 (mA)</t>
  </si>
  <si>
    <t>V1oc (V)</t>
  </si>
  <si>
    <t>I1sc (mA)</t>
  </si>
  <si>
    <t>V2oc (V)</t>
  </si>
  <si>
    <t>I2sc (mA)</t>
  </si>
  <si>
    <t>I2 (mA)</t>
  </si>
  <si>
    <t>V1c (V)</t>
  </si>
  <si>
    <t>V2c V)</t>
  </si>
  <si>
    <t>I_sc (mA)</t>
  </si>
  <si>
    <t>I_p1 (mA)</t>
  </si>
  <si>
    <t>I_p2 (mA)</t>
  </si>
  <si>
    <t>P1 (mW)</t>
  </si>
  <si>
    <t>P2 (mW)</t>
  </si>
  <si>
    <t>Enter data here: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</si>
</sst>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0"/>
    <numFmt numFmtId="167" formatCode="0.000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4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64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3" fillId="0" borderId="0" xfId="0" applyFont="1"/>
    <xf numFmtId="165" fontId="0" fillId="0" borderId="0" xfId="0" applyNumberFormat="1"/>
    <xf numFmtId="165" fontId="1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5" borderId="0" xfId="0" applyNumberForma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1" fontId="0" fillId="0" borderId="4" xfId="0" applyNumberFormat="1" applyBorder="1"/>
    <xf numFmtId="0" fontId="0" fillId="0" borderId="5" xfId="0" applyBorder="1"/>
    <xf numFmtId="11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tandem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calc!$F$3:$F$53</c:f>
              <c:numCache>
                <c:formatCode>0.0000</c:formatCode>
                <c:ptCount val="51"/>
                <c:pt idx="0">
                  <c:v>0</c:v>
                </c:pt>
                <c:pt idx="1">
                  <c:v>2.0828728020506331</c:v>
                </c:pt>
                <c:pt idx="2">
                  <c:v>2.1116048135411014</c:v>
                </c:pt>
                <c:pt idx="3">
                  <c:v>2.1288324358718054</c:v>
                </c:pt>
                <c:pt idx="4">
                  <c:v>2.1414054837802814</c:v>
                </c:pt>
                <c:pt idx="5">
                  <c:v>2.1514418241263282</c:v>
                </c:pt>
                <c:pt idx="6">
                  <c:v>2.159879193100616</c:v>
                </c:pt>
                <c:pt idx="7">
                  <c:v>2.1672160588368352</c:v>
                </c:pt>
                <c:pt idx="8">
                  <c:v>2.1737492658695148</c:v>
                </c:pt>
                <c:pt idx="9">
                  <c:v>2.1796699593510178</c:v>
                </c:pt>
                <c:pt idx="10">
                  <c:v>2.1851084808038013</c:v>
                </c:pt>
                <c:pt idx="11">
                  <c:v>2.1901576991890019</c:v>
                </c:pt>
                <c:pt idx="12">
                  <c:v>2.1948861246422866</c:v>
                </c:pt>
                <c:pt idx="13">
                  <c:v>2.1993457444213131</c:v>
                </c:pt>
                <c:pt idx="14">
                  <c:v>2.2035769411825421</c:v>
                </c:pt>
                <c:pt idx="15">
                  <c:v>2.2076117073654697</c:v>
                </c:pt>
                <c:pt idx="16">
                  <c:v>2.2114758183700767</c:v>
                </c:pt>
                <c:pt idx="17">
                  <c:v>2.2151903447414756</c:v>
                </c:pt>
                <c:pt idx="18">
                  <c:v>2.2187727308455734</c:v>
                </c:pt>
                <c:pt idx="19">
                  <c:v>2.2222375811155928</c:v>
                </c:pt>
                <c:pt idx="20">
                  <c:v>2.2255972441293554</c:v>
                </c:pt>
                <c:pt idx="21">
                  <c:v>2.228862253858892</c:v>
                </c:pt>
                <c:pt idx="22">
                  <c:v>2.2320416680569828</c:v>
                </c:pt>
                <c:pt idx="23">
                  <c:v>2.2351433312782651</c:v>
                </c:pt>
                <c:pt idx="24">
                  <c:v>2.2381740818211999</c:v>
                </c:pt>
                <c:pt idx="25">
                  <c:v>2.241139916353958</c:v>
                </c:pt>
                <c:pt idx="26">
                  <c:v>2.2440461222009427</c:v>
                </c:pt>
                <c:pt idx="27">
                  <c:v>2.2468973846258828</c:v>
                </c:pt>
                <c:pt idx="28">
                  <c:v>2.2496978745765039</c:v>
                </c:pt>
                <c:pt idx="29">
                  <c:v>2.2524513210110606</c:v>
                </c:pt>
                <c:pt idx="30">
                  <c:v>2.2551610709476231</c:v>
                </c:pt>
                <c:pt idx="31">
                  <c:v>2.2578301396549723</c:v>
                </c:pt>
                <c:pt idx="32">
                  <c:v>2.2604612528656087</c:v>
                </c:pt>
                <c:pt idx="33">
                  <c:v>2.2630568824857313</c:v>
                </c:pt>
                <c:pt idx="34">
                  <c:v>2.265619276968446</c:v>
                </c:pt>
                <c:pt idx="35">
                  <c:v>2.2681504872794997</c:v>
                </c:pt>
                <c:pt idx="36">
                  <c:v>2.2706523892013619</c:v>
                </c:pt>
                <c:pt idx="37">
                  <c:v>2.2731267025782644</c:v>
                </c:pt>
                <c:pt idx="38">
                  <c:v>2.2755750079921908</c:v>
                </c:pt>
                <c:pt idx="39">
                  <c:v>2.2779987612706116</c:v>
                </c:pt>
                <c:pt idx="40">
                  <c:v>2.2803993061556573</c:v>
                </c:pt>
                <c:pt idx="41">
                  <c:v>2.2827778854073841</c:v>
                </c:pt>
                <c:pt idx="42">
                  <c:v>2.2851356505677405</c:v>
                </c:pt>
                <c:pt idx="43">
                  <c:v>2.2874736705744905</c:v>
                </c:pt>
                <c:pt idx="44">
                  <c:v>2.2897929393838572</c:v>
                </c:pt>
                <c:pt idx="45">
                  <c:v>2.2920943827356641</c:v>
                </c:pt>
                <c:pt idx="46">
                  <c:v>2.2943788641741478</c:v>
                </c:pt>
                <c:pt idx="47">
                  <c:v>2.296647190420555</c:v>
                </c:pt>
                <c:pt idx="48">
                  <c:v>2.2989001161794786</c:v>
                </c:pt>
                <c:pt idx="49">
                  <c:v>2.3011383484490371</c:v>
                </c:pt>
                <c:pt idx="50">
                  <c:v>2.3033625503950814</c:v>
                </c:pt>
              </c:numCache>
            </c:numRef>
          </c:xVal>
          <c:yVal>
            <c:numRef>
              <c:f>calc!$C$3:$C$53</c:f>
              <c:numCache>
                <c:formatCode>0.0000</c:formatCode>
                <c:ptCount val="51"/>
                <c:pt idx="0">
                  <c:v>1.1283264183425792</c:v>
                </c:pt>
                <c:pt idx="1">
                  <c:v>1.1150610125979632</c:v>
                </c:pt>
                <c:pt idx="2">
                  <c:v>1.1015276278813073</c:v>
                </c:pt>
                <c:pt idx="3">
                  <c:v>1.0877208506582772</c:v>
                </c:pt>
                <c:pt idx="4">
                  <c:v>1.0736351580338912</c:v>
                </c:pt>
                <c:pt idx="5">
                  <c:v>1.0592649155432874</c:v>
                </c:pt>
                <c:pt idx="6">
                  <c:v>1.0446043748978642</c:v>
                </c:pt>
                <c:pt idx="7">
                  <c:v>1.0296476716858867</c:v>
                </c:pt>
                <c:pt idx="8">
                  <c:v>1.0143888230266447</c:v>
                </c:pt>
                <c:pt idx="9">
                  <c:v>0.99882172517722068</c:v>
                </c:pt>
                <c:pt idx="10">
                  <c:v>0.98294015109091049</c:v>
                </c:pt>
                <c:pt idx="11">
                  <c:v>0.96673774792632283</c:v>
                </c:pt>
                <c:pt idx="12">
                  <c:v>0.95020803450615654</c:v>
                </c:pt>
                <c:pt idx="13">
                  <c:v>0.9333443987246447</c:v>
                </c:pt>
                <c:pt idx="14">
                  <c:v>0.91614009490262327</c:v>
                </c:pt>
                <c:pt idx="15">
                  <c:v>0.89858824108916935</c:v>
                </c:pt>
                <c:pt idx="16">
                  <c:v>0.8806818163087301</c:v>
                </c:pt>
                <c:pt idx="17">
                  <c:v>0.86241365775263767</c:v>
                </c:pt>
                <c:pt idx="18">
                  <c:v>0.84377645791389111</c:v>
                </c:pt>
                <c:pt idx="19">
                  <c:v>0.82476276166405504</c:v>
                </c:pt>
                <c:pt idx="20">
                  <c:v>0.80536496327111085</c:v>
                </c:pt>
                <c:pt idx="21">
                  <c:v>0.78557530335706038</c:v>
                </c:pt>
                <c:pt idx="22">
                  <c:v>0.76538586579407197</c:v>
                </c:pt>
                <c:pt idx="23">
                  <c:v>0.74478857453792491</c:v>
                </c:pt>
                <c:pt idx="24">
                  <c:v>0.72377519039748217</c:v>
                </c:pt>
                <c:pt idx="25">
                  <c:v>0.70233730773890568</c:v>
                </c:pt>
                <c:pt idx="26">
                  <c:v>0.68046635112328957</c:v>
                </c:pt>
                <c:pt idx="27">
                  <c:v>0.65815357187637091</c:v>
                </c:pt>
                <c:pt idx="28">
                  <c:v>0.63539004458894333</c:v>
                </c:pt>
                <c:pt idx="29">
                  <c:v>0.61216666354657423</c:v>
                </c:pt>
                <c:pt idx="30">
                  <c:v>0.58847413908719726</c:v>
                </c:pt>
                <c:pt idx="31">
                  <c:v>0.56430299388512406</c:v>
                </c:pt>
                <c:pt idx="32">
                  <c:v>0.53964355915998774</c:v>
                </c:pt>
                <c:pt idx="33">
                  <c:v>0.51448597080910119</c:v>
                </c:pt>
                <c:pt idx="34">
                  <c:v>0.48882016546168544</c:v>
                </c:pt>
                <c:pt idx="35">
                  <c:v>0.46263587645338611</c:v>
                </c:pt>
                <c:pt idx="36">
                  <c:v>0.43592262971947121</c:v>
                </c:pt>
                <c:pt idx="37">
                  <c:v>0.40866973960506586</c:v>
                </c:pt>
                <c:pt idx="38">
                  <c:v>0.38086630459074761</c:v>
                </c:pt>
                <c:pt idx="39">
                  <c:v>0.35250120293179316</c:v>
                </c:pt>
                <c:pt idx="40">
                  <c:v>0.32356308820933249</c:v>
                </c:pt>
                <c:pt idx="41">
                  <c:v>0.29404038479163042</c:v>
                </c:pt>
                <c:pt idx="42">
                  <c:v>0.26392128320367858</c:v>
                </c:pt>
                <c:pt idx="43">
                  <c:v>0.23319373540324778</c:v>
                </c:pt>
                <c:pt idx="44">
                  <c:v>0.20184544996151207</c:v>
                </c:pt>
                <c:pt idx="45">
                  <c:v>0.16986388714631184</c:v>
                </c:pt>
                <c:pt idx="46">
                  <c:v>0.13723625390609498</c:v>
                </c:pt>
                <c:pt idx="47">
                  <c:v>0.10394949875252416</c:v>
                </c:pt>
                <c:pt idx="48">
                  <c:v>6.9990306539708905E-2</c:v>
                </c:pt>
                <c:pt idx="49">
                  <c:v>3.5345093137968617E-2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A-5746-AEAC-2496E8DF0B14}"/>
            </c:ext>
          </c:extLst>
        </c:ser>
        <c:ser>
          <c:idx val="2"/>
          <c:order val="1"/>
          <c:tx>
            <c:v>cell1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calc!$G$3:$G$53</c:f>
              <c:numCache>
                <c:formatCode>0.0000</c:formatCode>
                <c:ptCount val="51"/>
                <c:pt idx="0">
                  <c:v>0</c:v>
                </c:pt>
                <c:pt idx="1">
                  <c:v>2.4504362299388949E-2</c:v>
                </c:pt>
                <c:pt idx="2">
                  <c:v>4.9008724598777899E-2</c:v>
                </c:pt>
                <c:pt idx="3">
                  <c:v>7.3513086898166838E-2</c:v>
                </c:pt>
                <c:pt idx="4">
                  <c:v>9.8017449197555798E-2</c:v>
                </c:pt>
                <c:pt idx="5">
                  <c:v>0.12252181149694474</c:v>
                </c:pt>
                <c:pt idx="6">
                  <c:v>0.14702617379633368</c:v>
                </c:pt>
                <c:pt idx="7">
                  <c:v>0.17153053609572266</c:v>
                </c:pt>
                <c:pt idx="8">
                  <c:v>0.1960348983951116</c:v>
                </c:pt>
                <c:pt idx="9">
                  <c:v>0.22053926069450053</c:v>
                </c:pt>
                <c:pt idx="10">
                  <c:v>0.24504362299388949</c:v>
                </c:pt>
                <c:pt idx="11">
                  <c:v>0.26954798529327845</c:v>
                </c:pt>
                <c:pt idx="12">
                  <c:v>0.29405234759266735</c:v>
                </c:pt>
                <c:pt idx="13">
                  <c:v>0.31855670989205637</c:v>
                </c:pt>
                <c:pt idx="14">
                  <c:v>0.34306107219144533</c:v>
                </c:pt>
                <c:pt idx="15">
                  <c:v>0.36756543449083423</c:v>
                </c:pt>
                <c:pt idx="16">
                  <c:v>0.39206979679022319</c:v>
                </c:pt>
                <c:pt idx="17">
                  <c:v>0.41657415908961215</c:v>
                </c:pt>
                <c:pt idx="18">
                  <c:v>0.44107852138900105</c:v>
                </c:pt>
                <c:pt idx="19">
                  <c:v>0.46558288368839001</c:v>
                </c:pt>
                <c:pt idx="20">
                  <c:v>0.49008724598777897</c:v>
                </c:pt>
                <c:pt idx="21">
                  <c:v>0.51459160828716788</c:v>
                </c:pt>
                <c:pt idx="22">
                  <c:v>0.53909597058655689</c:v>
                </c:pt>
                <c:pt idx="23">
                  <c:v>0.5636003328859458</c:v>
                </c:pt>
                <c:pt idx="24">
                  <c:v>0.5881046951853347</c:v>
                </c:pt>
                <c:pt idx="25">
                  <c:v>0.61260905748472372</c:v>
                </c:pt>
                <c:pt idx="26">
                  <c:v>0.63711341978411273</c:v>
                </c:pt>
                <c:pt idx="27">
                  <c:v>0.66161778208350164</c:v>
                </c:pt>
                <c:pt idx="28">
                  <c:v>0.68612214438289065</c:v>
                </c:pt>
                <c:pt idx="29">
                  <c:v>0.71062650668227945</c:v>
                </c:pt>
                <c:pt idx="30">
                  <c:v>0.73513086898166846</c:v>
                </c:pt>
                <c:pt idx="31">
                  <c:v>0.75963523128105737</c:v>
                </c:pt>
                <c:pt idx="32">
                  <c:v>0.78413959358044638</c:v>
                </c:pt>
                <c:pt idx="33">
                  <c:v>0.8086439558798354</c:v>
                </c:pt>
                <c:pt idx="34">
                  <c:v>0.8331483181792243</c:v>
                </c:pt>
                <c:pt idx="35">
                  <c:v>0.85765268047861332</c:v>
                </c:pt>
                <c:pt idx="36">
                  <c:v>0.88215704277800211</c:v>
                </c:pt>
                <c:pt idx="37">
                  <c:v>0.90666140507739112</c:v>
                </c:pt>
                <c:pt idx="38">
                  <c:v>0.93116576737678003</c:v>
                </c:pt>
                <c:pt idx="39">
                  <c:v>0.95567012967616904</c:v>
                </c:pt>
                <c:pt idx="40">
                  <c:v>0.98017449197555795</c:v>
                </c:pt>
                <c:pt idx="41">
                  <c:v>1.004678854274947</c:v>
                </c:pt>
                <c:pt idx="42">
                  <c:v>1.0291832165743358</c:v>
                </c:pt>
                <c:pt idx="43">
                  <c:v>1.0536875788737248</c:v>
                </c:pt>
                <c:pt idx="44">
                  <c:v>1.0781919411731138</c:v>
                </c:pt>
                <c:pt idx="45">
                  <c:v>1.1026963034725028</c:v>
                </c:pt>
                <c:pt idx="46">
                  <c:v>1.1272006657718916</c:v>
                </c:pt>
                <c:pt idx="47">
                  <c:v>1.1517050280712806</c:v>
                </c:pt>
                <c:pt idx="48">
                  <c:v>1.1762093903706694</c:v>
                </c:pt>
                <c:pt idx="49">
                  <c:v>1.2007137526700584</c:v>
                </c:pt>
                <c:pt idx="50">
                  <c:v>1.2252181149694474</c:v>
                </c:pt>
              </c:numCache>
            </c:numRef>
          </c:xVal>
          <c:yVal>
            <c:numRef>
              <c:f>calc!$I$3:$I$53</c:f>
              <c:numCache>
                <c:formatCode>0.0000</c:formatCode>
                <c:ptCount val="51"/>
                <c:pt idx="0">
                  <c:v>1.872001973641785</c:v>
                </c:pt>
                <c:pt idx="1">
                  <c:v>1.8720019735812956</c:v>
                </c:pt>
                <c:pt idx="2">
                  <c:v>1.8720019734842168</c:v>
                </c:pt>
                <c:pt idx="3">
                  <c:v>1.8720019733284154</c:v>
                </c:pt>
                <c:pt idx="4">
                  <c:v>1.8720019730783712</c:v>
                </c:pt>
                <c:pt idx="5">
                  <c:v>1.8720019726770767</c:v>
                </c:pt>
                <c:pt idx="6">
                  <c:v>1.8720019720330419</c:v>
                </c:pt>
                <c:pt idx="7">
                  <c:v>1.8720019709994351</c:v>
                </c:pt>
                <c:pt idx="8">
                  <c:v>1.8720019693406063</c:v>
                </c:pt>
                <c:pt idx="9">
                  <c:v>1.8720019666783634</c:v>
                </c:pt>
                <c:pt idx="10">
                  <c:v>1.8720019624057478</c:v>
                </c:pt>
                <c:pt idx="11">
                  <c:v>1.8720019555486564</c:v>
                </c:pt>
                <c:pt idx="12">
                  <c:v>1.8720019445437575</c:v>
                </c:pt>
                <c:pt idx="13">
                  <c:v>1.8720019268820705</c:v>
                </c:pt>
                <c:pt idx="14">
                  <c:v>1.8720018985369498</c:v>
                </c:pt>
                <c:pt idx="15">
                  <c:v>1.8720018530460591</c:v>
                </c:pt>
                <c:pt idx="16">
                  <c:v>1.8720017800380402</c:v>
                </c:pt>
                <c:pt idx="17">
                  <c:v>1.8720016628679701</c:v>
                </c:pt>
                <c:pt idx="18">
                  <c:v>1.8720014748225258</c:v>
                </c:pt>
                <c:pt idx="19">
                  <c:v>1.8720011730296786</c:v>
                </c:pt>
                <c:pt idx="20">
                  <c:v>1.8720006886844025</c:v>
                </c:pt>
                <c:pt idx="21">
                  <c:v>1.8719999113619821</c:v>
                </c:pt>
                <c:pt idx="22">
                  <c:v>1.8719986638425463</c:v>
                </c:pt>
                <c:pt idx="23">
                  <c:v>1.8719966617071373</c:v>
                </c:pt>
                <c:pt idx="24">
                  <c:v>1.8719934484937142</c:v>
                </c:pt>
                <c:pt idx="25">
                  <c:v>1.871988291629471</c:v>
                </c:pt>
                <c:pt idx="26">
                  <c:v>1.871980015413321</c:v>
                </c:pt>
                <c:pt idx="27">
                  <c:v>1.8719667329706329</c:v>
                </c:pt>
                <c:pt idx="28">
                  <c:v>1.8719454160692179</c:v>
                </c:pt>
                <c:pt idx="29">
                  <c:v>1.8719112047199495</c:v>
                </c:pt>
                <c:pt idx="30">
                  <c:v>1.8718562991595218</c:v>
                </c:pt>
                <c:pt idx="31">
                  <c:v>1.871768181601158</c:v>
                </c:pt>
                <c:pt idx="32">
                  <c:v>1.871626762334484</c:v>
                </c:pt>
                <c:pt idx="33">
                  <c:v>1.8713997995207385</c:v>
                </c:pt>
                <c:pt idx="34">
                  <c:v>1.8710355484534358</c:v>
                </c:pt>
                <c:pt idx="35">
                  <c:v>1.8704509644070813</c:v>
                </c:pt>
                <c:pt idx="36">
                  <c:v>1.8695127694697744</c:v>
                </c:pt>
                <c:pt idx="37">
                  <c:v>1.8680070668323565</c:v>
                </c:pt>
                <c:pt idx="38">
                  <c:v>1.8655905749689119</c:v>
                </c:pt>
                <c:pt idx="39">
                  <c:v>1.8617123637066217</c:v>
                </c:pt>
                <c:pt idx="40">
                  <c:v>1.8554882489796161</c:v>
                </c:pt>
                <c:pt idx="41">
                  <c:v>1.8454992098286001</c:v>
                </c:pt>
                <c:pt idx="42">
                  <c:v>1.8294678692224262</c:v>
                </c:pt>
                <c:pt idx="43">
                  <c:v>1.8037392803415806</c:v>
                </c:pt>
                <c:pt idx="44">
                  <c:v>1.7624476440360903</c:v>
                </c:pt>
                <c:pt idx="45">
                  <c:v>1.6961789793735598</c:v>
                </c:pt>
                <c:pt idx="46">
                  <c:v>1.5898248527493506</c:v>
                </c:pt>
                <c:pt idx="47">
                  <c:v>1.4191378424164844</c:v>
                </c:pt>
                <c:pt idx="48">
                  <c:v>1.1452034270711065</c:v>
                </c:pt>
                <c:pt idx="49">
                  <c:v>0.70556795765679103</c:v>
                </c:pt>
                <c:pt idx="50">
                  <c:v>-2.4424906541753444E-15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1-CC45-801D-E0855B4C99FC}"/>
            </c:ext>
          </c:extLst>
        </c:ser>
        <c:ser>
          <c:idx val="3"/>
          <c:order val="2"/>
          <c:tx>
            <c:v>cell2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calc!$H$3:$H$53</c:f>
              <c:numCache>
                <c:formatCode>0.0000</c:formatCode>
                <c:ptCount val="51"/>
                <c:pt idx="0">
                  <c:v>0</c:v>
                </c:pt>
                <c:pt idx="1">
                  <c:v>2.1562888708512681E-2</c:v>
                </c:pt>
                <c:pt idx="2">
                  <c:v>4.3125777417025363E-2</c:v>
                </c:pt>
                <c:pt idx="3">
                  <c:v>6.468866612553803E-2</c:v>
                </c:pt>
                <c:pt idx="4">
                  <c:v>8.6251554834050725E-2</c:v>
                </c:pt>
                <c:pt idx="5">
                  <c:v>0.10781444354256341</c:v>
                </c:pt>
                <c:pt idx="6">
                  <c:v>0.12937733225107606</c:v>
                </c:pt>
                <c:pt idx="7">
                  <c:v>0.15094022095958878</c:v>
                </c:pt>
                <c:pt idx="8">
                  <c:v>0.17250310966810145</c:v>
                </c:pt>
                <c:pt idx="9">
                  <c:v>0.19406599837661412</c:v>
                </c:pt>
                <c:pt idx="10">
                  <c:v>0.21562888708512681</c:v>
                </c:pt>
                <c:pt idx="11">
                  <c:v>0.23719177579363948</c:v>
                </c:pt>
                <c:pt idx="12">
                  <c:v>0.25875466450215212</c:v>
                </c:pt>
                <c:pt idx="13">
                  <c:v>0.28031755321066487</c:v>
                </c:pt>
                <c:pt idx="14">
                  <c:v>0.30188044191917757</c:v>
                </c:pt>
                <c:pt idx="15">
                  <c:v>0.32344333062769021</c:v>
                </c:pt>
                <c:pt idx="16">
                  <c:v>0.3450062193362029</c:v>
                </c:pt>
                <c:pt idx="17">
                  <c:v>0.3665691080447156</c:v>
                </c:pt>
                <c:pt idx="18">
                  <c:v>0.38813199675322824</c:v>
                </c:pt>
                <c:pt idx="19">
                  <c:v>0.40969488546174093</c:v>
                </c:pt>
                <c:pt idx="20">
                  <c:v>0.43125777417025363</c:v>
                </c:pt>
                <c:pt idx="21">
                  <c:v>0.45282066287876627</c:v>
                </c:pt>
                <c:pt idx="22">
                  <c:v>0.47438355158727896</c:v>
                </c:pt>
                <c:pt idx="23">
                  <c:v>0.49594644029579166</c:v>
                </c:pt>
                <c:pt idx="24">
                  <c:v>0.51750932900430424</c:v>
                </c:pt>
                <c:pt idx="25">
                  <c:v>0.53907221771281699</c:v>
                </c:pt>
                <c:pt idx="26">
                  <c:v>0.56063510642132974</c:v>
                </c:pt>
                <c:pt idx="27">
                  <c:v>0.58219799512984238</c:v>
                </c:pt>
                <c:pt idx="28">
                  <c:v>0.60376088383835513</c:v>
                </c:pt>
                <c:pt idx="29">
                  <c:v>0.62532377254686766</c:v>
                </c:pt>
                <c:pt idx="30">
                  <c:v>0.64688666125538041</c:v>
                </c:pt>
                <c:pt idx="31">
                  <c:v>0.66844954996389305</c:v>
                </c:pt>
                <c:pt idx="32">
                  <c:v>0.6900124386724058</c:v>
                </c:pt>
                <c:pt idx="33">
                  <c:v>0.71157532738091844</c:v>
                </c:pt>
                <c:pt idx="34">
                  <c:v>0.73313821608943119</c:v>
                </c:pt>
                <c:pt idx="35">
                  <c:v>0.75470110479794383</c:v>
                </c:pt>
                <c:pt idx="36">
                  <c:v>0.77626399350645647</c:v>
                </c:pt>
                <c:pt idx="37">
                  <c:v>0.79782688221496911</c:v>
                </c:pt>
                <c:pt idx="38">
                  <c:v>0.81938977092348186</c:v>
                </c:pt>
                <c:pt idx="39">
                  <c:v>0.8409526596319945</c:v>
                </c:pt>
                <c:pt idx="40">
                  <c:v>0.86251554834050725</c:v>
                </c:pt>
                <c:pt idx="41">
                  <c:v>0.88407843704901989</c:v>
                </c:pt>
                <c:pt idx="42">
                  <c:v>0.90564132575753253</c:v>
                </c:pt>
                <c:pt idx="43">
                  <c:v>0.92720421446604517</c:v>
                </c:pt>
                <c:pt idx="44">
                  <c:v>0.94876710317455792</c:v>
                </c:pt>
                <c:pt idx="45">
                  <c:v>0.97032999188307056</c:v>
                </c:pt>
                <c:pt idx="46">
                  <c:v>0.99189288059158331</c:v>
                </c:pt>
                <c:pt idx="47">
                  <c:v>1.0134557693000961</c:v>
                </c:pt>
                <c:pt idx="48">
                  <c:v>1.0350186580086085</c:v>
                </c:pt>
                <c:pt idx="49">
                  <c:v>1.0565815467171213</c:v>
                </c:pt>
                <c:pt idx="50">
                  <c:v>1.078144435425634</c:v>
                </c:pt>
              </c:numCache>
            </c:numRef>
          </c:xVal>
          <c:yVal>
            <c:numRef>
              <c:f>calc!$J$3:$J$53</c:f>
              <c:numCache>
                <c:formatCode>0.0000</c:formatCode>
                <c:ptCount val="51"/>
                <c:pt idx="0">
                  <c:v>1.127998026358215</c:v>
                </c:pt>
                <c:pt idx="1">
                  <c:v>1.1279980263574729</c:v>
                </c:pt>
                <c:pt idx="2">
                  <c:v>1.1279980263561804</c:v>
                </c:pt>
                <c:pt idx="3">
                  <c:v>1.1279980263539289</c:v>
                </c:pt>
                <c:pt idx="4">
                  <c:v>1.1279980263500067</c:v>
                </c:pt>
                <c:pt idx="5">
                  <c:v>1.1279980263431739</c:v>
                </c:pt>
                <c:pt idx="6">
                  <c:v>1.1279980263312717</c:v>
                </c:pt>
                <c:pt idx="7">
                  <c:v>1.127998026310538</c:v>
                </c:pt>
                <c:pt idx="8">
                  <c:v>1.1279980262744203</c:v>
                </c:pt>
                <c:pt idx="9">
                  <c:v>1.127998026211503</c:v>
                </c:pt>
                <c:pt idx="10">
                  <c:v>1.127998026101902</c:v>
                </c:pt>
                <c:pt idx="11">
                  <c:v>1.1279980259109779</c:v>
                </c:pt>
                <c:pt idx="12">
                  <c:v>1.1279980255783895</c:v>
                </c:pt>
                <c:pt idx="13">
                  <c:v>1.1279980249990231</c:v>
                </c:pt>
                <c:pt idx="14">
                  <c:v>1.1279980239897716</c:v>
                </c:pt>
                <c:pt idx="15">
                  <c:v>1.1279980222316635</c:v>
                </c:pt>
                <c:pt idx="16">
                  <c:v>1.1279980191690531</c:v>
                </c:pt>
                <c:pt idx="17">
                  <c:v>1.1279980138340102</c:v>
                </c:pt>
                <c:pt idx="18">
                  <c:v>1.1279980045404079</c:v>
                </c:pt>
                <c:pt idx="19">
                  <c:v>1.1279979883510267</c:v>
                </c:pt>
                <c:pt idx="20">
                  <c:v>1.1279979601492534</c:v>
                </c:pt>
                <c:pt idx="21">
                  <c:v>1.1279979110219889</c:v>
                </c:pt>
                <c:pt idx="22">
                  <c:v>1.1279978254426848</c:v>
                </c:pt>
                <c:pt idx="23">
                  <c:v>1.1279976763642181</c:v>
                </c:pt>
                <c:pt idx="24">
                  <c:v>1.1279974166707154</c:v>
                </c:pt>
                <c:pt idx="25">
                  <c:v>1.1279969642867003</c:v>
                </c:pt>
                <c:pt idx="26">
                  <c:v>1.127996176237346</c:v>
                </c:pt>
                <c:pt idx="27">
                  <c:v>1.1279948034616414</c:v>
                </c:pt>
                <c:pt idx="28">
                  <c:v>1.1279924120972882</c:v>
                </c:pt>
                <c:pt idx="29">
                  <c:v>1.127988246359614</c:v>
                </c:pt>
                <c:pt idx="30">
                  <c:v>1.1279809896777346</c:v>
                </c:pt>
                <c:pt idx="31">
                  <c:v>1.127968348595646</c:v>
                </c:pt>
                <c:pt idx="32">
                  <c:v>1.1279463279312389</c:v>
                </c:pt>
                <c:pt idx="33">
                  <c:v>1.1279079681090716</c:v>
                </c:pt>
                <c:pt idx="34">
                  <c:v>1.1278411456041049</c:v>
                </c:pt>
                <c:pt idx="35">
                  <c:v>1.127724741332194</c:v>
                </c:pt>
                <c:pt idx="36">
                  <c:v>1.1275219660168139</c:v>
                </c:pt>
                <c:pt idx="37">
                  <c:v>1.1271687330310092</c:v>
                </c:pt>
                <c:pt idx="38">
                  <c:v>1.126553403980594</c:v>
                </c:pt>
                <c:pt idx="39">
                  <c:v>1.1254815056712604</c:v>
                </c:pt>
                <c:pt idx="40">
                  <c:v>1.1236142673460474</c:v>
                </c:pt>
                <c:pt idx="41">
                  <c:v>1.1203615530421018</c:v>
                </c:pt>
                <c:pt idx="42">
                  <c:v>1.1146953506081494</c:v>
                </c:pt>
                <c:pt idx="43">
                  <c:v>1.1048248710570909</c:v>
                </c:pt>
                <c:pt idx="44">
                  <c:v>1.0876305742236287</c:v>
                </c:pt>
                <c:pt idx="45">
                  <c:v>1.0576782459636</c:v>
                </c:pt>
                <c:pt idx="46">
                  <c:v>1.0055015284807092</c:v>
                </c:pt>
                <c:pt idx="47">
                  <c:v>0.91461010182248803</c:v>
                </c:pt>
                <c:pt idx="48">
                  <c:v>0.75627795985369395</c:v>
                </c:pt>
                <c:pt idx="49">
                  <c:v>0.48046462847432903</c:v>
                </c:pt>
                <c:pt idx="50">
                  <c:v>-1.7763568394002505E-15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1-CC45-801D-E0855B4C99FC}"/>
            </c:ext>
          </c:extLst>
        </c:ser>
        <c:ser>
          <c:idx val="1"/>
          <c:order val="3"/>
          <c:tx>
            <c:v>Pmax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tandem!$C$21</c:f>
              <c:numCache>
                <c:formatCode>0.000000</c:formatCode>
                <c:ptCount val="1"/>
                <c:pt idx="0">
                  <c:v>2.1076055656936141</c:v>
                </c:pt>
              </c:numCache>
            </c:numRef>
          </c:xVal>
          <c:yVal>
            <c:numRef>
              <c:f>tandem!$C$22</c:f>
              <c:numCache>
                <c:formatCode>0.000000</c:formatCode>
                <c:ptCount val="1"/>
                <c:pt idx="0">
                  <c:v>1.1040138157884951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13-CC45-993C-B415932313D5}"/>
            </c:ext>
          </c:extLst>
        </c:ser>
        <c:ser>
          <c:idx val="4"/>
          <c:order val="4"/>
          <c:tx>
            <c:v>P1max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tandem!$F$7</c:f>
              <c:numCache>
                <c:formatCode>0.0000</c:formatCode>
                <c:ptCount val="1"/>
                <c:pt idx="0">
                  <c:v>1.0660980978937666</c:v>
                </c:pt>
              </c:numCache>
            </c:numRef>
          </c:xVal>
          <c:yVal>
            <c:numRef>
              <c:f>tandem!$F$8</c:f>
              <c:numCache>
                <c:formatCode>0.0000</c:formatCode>
                <c:ptCount val="1"/>
                <c:pt idx="0">
                  <c:v>1.7852590616994346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1-CC45-801D-E0855B4C99FC}"/>
            </c:ext>
          </c:extLst>
        </c:ser>
        <c:ser>
          <c:idx val="5"/>
          <c:order val="5"/>
          <c:tx>
            <c:v>P2max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tandem!$F$14</c:f>
              <c:numCache>
                <c:formatCode>0.0000</c:formatCode>
                <c:ptCount val="1"/>
                <c:pt idx="0">
                  <c:v>0.95230352675578078</c:v>
                </c:pt>
              </c:numCache>
            </c:numRef>
          </c:xVal>
          <c:yVal>
            <c:numRef>
              <c:f>tandem!$F$15</c:f>
              <c:numCache>
                <c:formatCode>0.0000</c:formatCode>
                <c:ptCount val="1"/>
                <c:pt idx="0">
                  <c:v>1.0837835854085056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1-CC45-801D-E0855B4C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9087"/>
        <c:axId val="1308920815"/>
      </c:scatterChart>
      <c:valAx>
        <c:axId val="130891908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20815"/>
        <c:crosses val="autoZero"/>
        <c:crossBetween val="midCat"/>
      </c:valAx>
      <c:valAx>
        <c:axId val="130892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 (mA)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1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E$2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1244600</xdr:colOff>
      <xdr:row>19</xdr:row>
      <xdr:rowOff>0</xdr:rowOff>
    </xdr:from>
    <xdr:to>
      <xdr:col>14</xdr:col>
      <xdr:colOff>577850</xdr:colOff>
      <xdr:row>33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18</xdr:row>
          <xdr:rowOff>127000</xdr:rowOff>
        </xdr:from>
        <xdr:to>
          <xdr:col>5</xdr:col>
          <xdr:colOff>368300</xdr:colOff>
          <xdr:row>20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508000</xdr:colOff>
          <xdr:row>21</xdr:row>
          <xdr:rowOff>0</xdr:rowOff>
        </xdr:from>
        <xdr:to>
          <xdr:col>7</xdr:col>
          <xdr:colOff>381000</xdr:colOff>
          <xdr:row>22</xdr:row>
          <xdr:rowOff>177800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 each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4093-DF6B-F344-A215-BF7E4431A2FB}">
  <sheetPr codeName="Sheet1"/>
  <dimension ref="A1:AP112"/>
  <sheetViews>
    <sheetView tabSelected="1" zoomScaleNormal="100" workbookViewId="0">
      <selection activeCell="C25" sqref="C25"/>
    </sheetView>
  </sheetViews>
  <sheetFormatPr baseColWidth="10" defaultRowHeight="16" x14ac:dyDescent="0.2"/>
  <cols>
    <col min="3" max="3" width="16" customWidth="1"/>
    <col min="8" max="8" width="19.1640625" customWidth="1"/>
  </cols>
  <sheetData>
    <row r="1" spans="1:42" ht="17" thickBot="1" x14ac:dyDescent="0.25"/>
    <row r="2" spans="1:42" x14ac:dyDescent="0.2">
      <c r="I2" s="13" t="s">
        <v>52</v>
      </c>
      <c r="J2" s="14"/>
    </row>
    <row r="3" spans="1:42" x14ac:dyDescent="0.2">
      <c r="B3" t="s">
        <v>0</v>
      </c>
      <c r="C3" s="9">
        <v>3</v>
      </c>
      <c r="I3" s="15" t="s">
        <v>0</v>
      </c>
      <c r="J3" s="16">
        <v>3</v>
      </c>
    </row>
    <row r="4" spans="1:42" x14ac:dyDescent="0.2">
      <c r="B4" t="s">
        <v>1</v>
      </c>
      <c r="C4" s="11">
        <v>2.5899999999999999E-2</v>
      </c>
      <c r="I4" s="15" t="s">
        <v>1</v>
      </c>
      <c r="J4" s="16">
        <v>2.5899999999999999E-2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</row>
    <row r="5" spans="1:42" x14ac:dyDescent="0.2">
      <c r="B5" t="s">
        <v>12</v>
      </c>
      <c r="C5" s="7">
        <f>tandem!C60</f>
        <v>0.375999342119405</v>
      </c>
      <c r="I5" s="15" t="s">
        <v>9</v>
      </c>
      <c r="J5" s="16">
        <v>2</v>
      </c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</row>
    <row r="6" spans="1:42" x14ac:dyDescent="0.2">
      <c r="I6" s="15" t="s">
        <v>6</v>
      </c>
      <c r="J6" s="17">
        <v>1E-10</v>
      </c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</row>
    <row r="7" spans="1:42" x14ac:dyDescent="0.2">
      <c r="A7" t="s">
        <v>30</v>
      </c>
      <c r="B7" t="s">
        <v>9</v>
      </c>
      <c r="C7" s="10">
        <v>2</v>
      </c>
      <c r="E7" t="s">
        <v>31</v>
      </c>
      <c r="F7" s="2">
        <f>C7*C4*LN((C9-F8)/C8+1)</f>
        <v>1.0660980978937666</v>
      </c>
      <c r="I7" s="15" t="s">
        <v>10</v>
      </c>
      <c r="J7" s="16">
        <v>1.5</v>
      </c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</row>
    <row r="8" spans="1:42" ht="17" thickBot="1" x14ac:dyDescent="0.25">
      <c r="B8" t="s">
        <v>6</v>
      </c>
      <c r="C8" s="12">
        <v>1E-10</v>
      </c>
      <c r="E8" t="s">
        <v>32</v>
      </c>
      <c r="F8" s="2">
        <v>1.7852590616994346</v>
      </c>
      <c r="I8" s="18" t="s">
        <v>7</v>
      </c>
      <c r="J8" s="19">
        <v>9.9999999999999998E-13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</row>
    <row r="9" spans="1:42" x14ac:dyDescent="0.2">
      <c r="B9" t="s">
        <v>2</v>
      </c>
      <c r="C9" s="7">
        <f>(1-C5)*C3</f>
        <v>1.872001973641785</v>
      </c>
      <c r="E9" t="s">
        <v>33</v>
      </c>
      <c r="F9" s="2">
        <f>F7*F8</f>
        <v>1.9032612899253778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</row>
    <row r="10" spans="1:42" x14ac:dyDescent="0.2">
      <c r="B10" t="s">
        <v>4</v>
      </c>
      <c r="C10" s="7">
        <f>C7*C4*LN((C9-C22)/C8+1)</f>
        <v>1.1790648641691528</v>
      </c>
      <c r="E10" t="s">
        <v>40</v>
      </c>
      <c r="F10" s="2">
        <f>C7*C4*LN((C9-0)/C8+1)</f>
        <v>1.2252181149694474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42" x14ac:dyDescent="0.2">
      <c r="B11" t="s">
        <v>50</v>
      </c>
      <c r="C11" s="2">
        <f>C10*C22</f>
        <v>1.30170389975353</v>
      </c>
      <c r="E11" t="s">
        <v>41</v>
      </c>
      <c r="F11" s="2">
        <f>C9</f>
        <v>1.872001973641785</v>
      </c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</row>
    <row r="12" spans="1:42" x14ac:dyDescent="0.2">
      <c r="C12" s="1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</row>
    <row r="13" spans="1:42" x14ac:dyDescent="0.2">
      <c r="C13" s="1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</row>
    <row r="14" spans="1:42" x14ac:dyDescent="0.2">
      <c r="A14" t="s">
        <v>36</v>
      </c>
      <c r="B14" t="s">
        <v>10</v>
      </c>
      <c r="C14" s="10">
        <v>1.5</v>
      </c>
      <c r="E14" t="s">
        <v>35</v>
      </c>
      <c r="F14" s="2">
        <f>C14*C4*LN((C16-F15)/C15+1)</f>
        <v>0.95230352675578078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</row>
    <row r="15" spans="1:42" x14ac:dyDescent="0.2">
      <c r="B15" t="s">
        <v>7</v>
      </c>
      <c r="C15" s="12">
        <v>9.9999999999999998E-13</v>
      </c>
      <c r="E15" t="s">
        <v>37</v>
      </c>
      <c r="F15" s="2">
        <v>1.0837835854085056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</row>
    <row r="16" spans="1:42" x14ac:dyDescent="0.2">
      <c r="B16" t="s">
        <v>3</v>
      </c>
      <c r="C16" s="7">
        <f>C5*C3</f>
        <v>1.127998026358215</v>
      </c>
      <c r="E16" t="s">
        <v>38</v>
      </c>
      <c r="F16" s="2">
        <f>F14*F15</f>
        <v>1.0320909306245449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</row>
    <row r="17" spans="2:42" x14ac:dyDescent="0.2">
      <c r="B17" t="s">
        <v>5</v>
      </c>
      <c r="C17" s="7">
        <f>C14*C4*LN((C16-C22)/C15+1)</f>
        <v>0.92854070152446133</v>
      </c>
      <c r="E17" t="s">
        <v>42</v>
      </c>
      <c r="F17" s="2">
        <f>C14*C4*LN((C16-0)/C15+1)</f>
        <v>1.078144435425634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</row>
    <row r="18" spans="2:42" x14ac:dyDescent="0.2">
      <c r="B18" t="s">
        <v>51</v>
      </c>
      <c r="C18">
        <f>C17*C22</f>
        <v>1.0251217630049467</v>
      </c>
      <c r="E18" t="s">
        <v>43</v>
      </c>
      <c r="F18" s="2">
        <f>C16</f>
        <v>1.127998026358215</v>
      </c>
    </row>
    <row r="19" spans="2:42" x14ac:dyDescent="0.2"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</row>
    <row r="20" spans="2:42" x14ac:dyDescent="0.2">
      <c r="B20" t="s">
        <v>26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</row>
    <row r="21" spans="2:42" x14ac:dyDescent="0.2">
      <c r="B21" t="s">
        <v>28</v>
      </c>
      <c r="C21" s="7">
        <f>C10+C17</f>
        <v>2.1076055656936141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</row>
    <row r="22" spans="2:42" x14ac:dyDescent="0.2">
      <c r="B22" t="s">
        <v>29</v>
      </c>
      <c r="C22" s="7">
        <v>1.1040138157884951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</row>
    <row r="23" spans="2:42" x14ac:dyDescent="0.2">
      <c r="B23" t="s">
        <v>34</v>
      </c>
      <c r="C23" s="8">
        <f>C22*C21</f>
        <v>2.3268256627584769</v>
      </c>
      <c r="E23" t="b">
        <v>1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</row>
    <row r="24" spans="2:42" x14ac:dyDescent="0.2"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</row>
    <row r="25" spans="2:42" ht="19" x14ac:dyDescent="0.25">
      <c r="B25" t="s">
        <v>22</v>
      </c>
      <c r="C25" s="7">
        <f>C7*C4*LN((C9-0)/C8+1)+C14*C4*LN((C16-0)/C15+1)</f>
        <v>2.3033625503950814</v>
      </c>
      <c r="E25" s="6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</row>
    <row r="26" spans="2:42" x14ac:dyDescent="0.2">
      <c r="B26" t="s">
        <v>18</v>
      </c>
      <c r="C26" s="7">
        <f>F28</f>
        <v>1.1283264183425792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</row>
    <row r="27" spans="2:42" x14ac:dyDescent="0.2">
      <c r="B27" s="1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</row>
    <row r="28" spans="2:42" x14ac:dyDescent="0.2">
      <c r="E28" t="s">
        <v>23</v>
      </c>
      <c r="F28" s="2">
        <f>Ip_1_mA-I0_1_mA*(EXP(u/n_1)-1)</f>
        <v>1.1283264183425792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</row>
    <row r="29" spans="2:42" x14ac:dyDescent="0.2">
      <c r="E29" t="s">
        <v>24</v>
      </c>
      <c r="F29" s="2">
        <f>Ip_2_mA-I0_2_mA*(EXP(-u/n_2)-1)</f>
        <v>1.1279980263592151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</row>
    <row r="30" spans="2:42" x14ac:dyDescent="0.2">
      <c r="D30" t="s">
        <v>27</v>
      </c>
      <c r="E30" t="s">
        <v>19</v>
      </c>
      <c r="F30" s="2">
        <v>45.459401018455125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</row>
    <row r="31" spans="2:42" x14ac:dyDescent="0.2">
      <c r="E31" t="s">
        <v>25</v>
      </c>
      <c r="F31" s="5">
        <f>tandem!F28-tandem!F29</f>
        <v>3.2839198336409581E-4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</row>
    <row r="32" spans="2:42" x14ac:dyDescent="0.2"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</row>
    <row r="33" spans="2:42" x14ac:dyDescent="0.2"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</row>
    <row r="34" spans="2:42" x14ac:dyDescent="0.2"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2:42" x14ac:dyDescent="0.2"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2:42" x14ac:dyDescent="0.2">
      <c r="C36" s="7"/>
      <c r="H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2:42" x14ac:dyDescent="0.2">
      <c r="C37" s="4"/>
      <c r="H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2:42" x14ac:dyDescent="0.2">
      <c r="H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2:42" x14ac:dyDescent="0.2">
      <c r="C39" s="7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2:42" x14ac:dyDescent="0.2">
      <c r="C40" s="4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2:42" x14ac:dyDescent="0.2"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2:42" x14ac:dyDescent="0.2">
      <c r="C42" s="3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2:42" x14ac:dyDescent="0.2"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2:42" x14ac:dyDescent="0.2">
      <c r="B44" t="s">
        <v>11</v>
      </c>
      <c r="C44">
        <f>tandem!C7+tandem!C14</f>
        <v>3.5</v>
      </c>
      <c r="H44" s="1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2:42" x14ac:dyDescent="0.2">
      <c r="B45" t="s">
        <v>20</v>
      </c>
      <c r="C45">
        <f>tandem!C7/C44</f>
        <v>0.5714285714285714</v>
      </c>
      <c r="H45" s="1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2:42" x14ac:dyDescent="0.2">
      <c r="B46" t="s">
        <v>21</v>
      </c>
      <c r="C46">
        <f>tandem!C14/C44</f>
        <v>0.42857142857142855</v>
      </c>
      <c r="H46" s="1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2:42" x14ac:dyDescent="0.2">
      <c r="H47" s="1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2:42" x14ac:dyDescent="0.2">
      <c r="B48">
        <f>1-B55</f>
        <v>0.5714285714285714</v>
      </c>
      <c r="C48">
        <f>B48*tandem!C3</f>
        <v>1.7142857142857142</v>
      </c>
      <c r="H48" s="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:39" x14ac:dyDescent="0.2">
      <c r="B49">
        <f t="shared" ref="B49:C51" si="0">-B56</f>
        <v>0.14285714285714285</v>
      </c>
      <c r="C49" s="3">
        <f t="shared" si="0"/>
        <v>0.15771625939835643</v>
      </c>
      <c r="H49" s="1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:39" x14ac:dyDescent="0.2">
      <c r="B50">
        <f t="shared" si="0"/>
        <v>-0.42857142857142855</v>
      </c>
      <c r="C50" s="1">
        <f t="shared" si="0"/>
        <v>-4.2857142857142858E-11</v>
      </c>
      <c r="H50" s="1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:39" x14ac:dyDescent="0.2">
      <c r="B51">
        <f t="shared" si="0"/>
        <v>0.5714285714285714</v>
      </c>
      <c r="C51" s="1">
        <f t="shared" si="0"/>
        <v>5.7142857142857137E-13</v>
      </c>
      <c r="H51" s="1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2:39" x14ac:dyDescent="0.2">
      <c r="B52" t="s">
        <v>14</v>
      </c>
      <c r="C52">
        <f>SUM(C48:C51)</f>
        <v>1.872001973641785</v>
      </c>
      <c r="H52" s="1"/>
    </row>
    <row r="53" spans="2:39" x14ac:dyDescent="0.2">
      <c r="B53" s="1" t="s">
        <v>13</v>
      </c>
      <c r="C53" s="4">
        <f>1-C60</f>
        <v>0.624000657880595</v>
      </c>
      <c r="H53" s="1"/>
    </row>
    <row r="54" spans="2:39" x14ac:dyDescent="0.2">
      <c r="H54" s="1"/>
    </row>
    <row r="55" spans="2:39" x14ac:dyDescent="0.2">
      <c r="B55">
        <f>C46</f>
        <v>0.42857142857142855</v>
      </c>
      <c r="C55">
        <f>B55*Ip_mA</f>
        <v>1.2857142857142856</v>
      </c>
      <c r="H55" s="1"/>
    </row>
    <row r="56" spans="2:39" x14ac:dyDescent="0.2">
      <c r="B56">
        <f>C46-C45</f>
        <v>-0.14285714285714285</v>
      </c>
      <c r="C56" s="3">
        <f>B56*Im_mA</f>
        <v>-0.15771625939835643</v>
      </c>
      <c r="H56" s="1"/>
    </row>
    <row r="57" spans="2:39" x14ac:dyDescent="0.2">
      <c r="B57">
        <f>C46</f>
        <v>0.42857142857142855</v>
      </c>
      <c r="C57" s="1">
        <f>B57*I0_1_mA</f>
        <v>4.2857142857142858E-11</v>
      </c>
      <c r="H57" s="1"/>
    </row>
    <row r="58" spans="2:39" x14ac:dyDescent="0.2">
      <c r="B58">
        <f>-C45</f>
        <v>-0.5714285714285714</v>
      </c>
      <c r="C58" s="1">
        <f>B58*I0_2_mA</f>
        <v>-5.7142857142857137E-13</v>
      </c>
      <c r="H58" s="1"/>
    </row>
    <row r="59" spans="2:39" x14ac:dyDescent="0.2">
      <c r="B59" t="s">
        <v>15</v>
      </c>
      <c r="C59">
        <f>SUM(C55:C58)</f>
        <v>1.127998026358215</v>
      </c>
      <c r="H59" s="1"/>
    </row>
    <row r="60" spans="2:39" x14ac:dyDescent="0.2">
      <c r="B60" s="1" t="s">
        <v>12</v>
      </c>
      <c r="C60" s="4">
        <f>C59/Ip_mA</f>
        <v>0.375999342119405</v>
      </c>
      <c r="H60" s="1"/>
    </row>
    <row r="61" spans="2:39" x14ac:dyDescent="0.2">
      <c r="H61" s="1"/>
    </row>
    <row r="62" spans="2:39" x14ac:dyDescent="0.2">
      <c r="H62" s="1"/>
    </row>
    <row r="63" spans="2:39" x14ac:dyDescent="0.2">
      <c r="H63" s="1"/>
    </row>
    <row r="64" spans="2:39" x14ac:dyDescent="0.2">
      <c r="H64" s="1"/>
    </row>
    <row r="65" spans="8:8" x14ac:dyDescent="0.2">
      <c r="H65" s="1"/>
    </row>
    <row r="66" spans="8:8" x14ac:dyDescent="0.2">
      <c r="H66" s="1"/>
    </row>
    <row r="67" spans="8:8" x14ac:dyDescent="0.2">
      <c r="H67" s="1"/>
    </row>
    <row r="68" spans="8:8" x14ac:dyDescent="0.2">
      <c r="H68" s="1"/>
    </row>
    <row r="69" spans="8:8" x14ac:dyDescent="0.2">
      <c r="H69" s="1"/>
    </row>
    <row r="70" spans="8:8" x14ac:dyDescent="0.2">
      <c r="H70" s="1"/>
    </row>
    <row r="71" spans="8:8" x14ac:dyDescent="0.2">
      <c r="H71" s="1"/>
    </row>
    <row r="72" spans="8:8" x14ac:dyDescent="0.2">
      <c r="H72" s="1"/>
    </row>
    <row r="73" spans="8:8" x14ac:dyDescent="0.2">
      <c r="H73" s="1"/>
    </row>
    <row r="74" spans="8:8" x14ac:dyDescent="0.2">
      <c r="H74" s="1"/>
    </row>
    <row r="75" spans="8:8" x14ac:dyDescent="0.2">
      <c r="H75" s="1"/>
    </row>
    <row r="76" spans="8:8" x14ac:dyDescent="0.2">
      <c r="H76" s="1"/>
    </row>
    <row r="77" spans="8:8" x14ac:dyDescent="0.2">
      <c r="H77" s="1"/>
    </row>
    <row r="78" spans="8:8" x14ac:dyDescent="0.2">
      <c r="H78" s="1"/>
    </row>
    <row r="79" spans="8:8" x14ac:dyDescent="0.2">
      <c r="H79" s="1"/>
    </row>
    <row r="80" spans="8:8" x14ac:dyDescent="0.2">
      <c r="H80" s="1"/>
    </row>
    <row r="81" spans="8:8" x14ac:dyDescent="0.2">
      <c r="H81" s="1"/>
    </row>
    <row r="82" spans="8:8" x14ac:dyDescent="0.2">
      <c r="H82" s="1"/>
    </row>
    <row r="83" spans="8:8" x14ac:dyDescent="0.2">
      <c r="H83" s="1"/>
    </row>
    <row r="84" spans="8:8" x14ac:dyDescent="0.2">
      <c r="H84" s="1"/>
    </row>
    <row r="85" spans="8:8" x14ac:dyDescent="0.2">
      <c r="H85" s="1"/>
    </row>
    <row r="86" spans="8:8" x14ac:dyDescent="0.2">
      <c r="H86" s="1"/>
    </row>
    <row r="87" spans="8:8" x14ac:dyDescent="0.2">
      <c r="H87" s="1"/>
    </row>
    <row r="88" spans="8:8" x14ac:dyDescent="0.2">
      <c r="H88" s="1"/>
    </row>
    <row r="89" spans="8:8" x14ac:dyDescent="0.2">
      <c r="H89" s="1"/>
    </row>
    <row r="90" spans="8:8" x14ac:dyDescent="0.2">
      <c r="H90" s="1"/>
    </row>
    <row r="91" spans="8:8" x14ac:dyDescent="0.2">
      <c r="H91" s="1"/>
    </row>
    <row r="92" spans="8:8" x14ac:dyDescent="0.2">
      <c r="H92" s="1"/>
    </row>
    <row r="93" spans="8:8" x14ac:dyDescent="0.2">
      <c r="H93" s="1"/>
    </row>
    <row r="94" spans="8:8" x14ac:dyDescent="0.2">
      <c r="H94" s="1"/>
    </row>
    <row r="95" spans="8:8" x14ac:dyDescent="0.2">
      <c r="H95" s="1"/>
    </row>
    <row r="96" spans="8:8" x14ac:dyDescent="0.2">
      <c r="H96" s="1"/>
    </row>
    <row r="97" spans="8:8" x14ac:dyDescent="0.2">
      <c r="H97" s="1"/>
    </row>
    <row r="98" spans="8:8" x14ac:dyDescent="0.2">
      <c r="H98" s="1"/>
    </row>
    <row r="99" spans="8:8" x14ac:dyDescent="0.2">
      <c r="H99" s="1"/>
    </row>
    <row r="100" spans="8:8" x14ac:dyDescent="0.2">
      <c r="H100" s="1"/>
    </row>
    <row r="101" spans="8:8" x14ac:dyDescent="0.2">
      <c r="H101" s="1"/>
    </row>
    <row r="102" spans="8:8" x14ac:dyDescent="0.2">
      <c r="H102" s="1"/>
    </row>
    <row r="103" spans="8:8" x14ac:dyDescent="0.2">
      <c r="H103" s="1"/>
    </row>
    <row r="104" spans="8:8" x14ac:dyDescent="0.2">
      <c r="H104" s="1"/>
    </row>
    <row r="105" spans="8:8" x14ac:dyDescent="0.2">
      <c r="H105" s="1"/>
    </row>
    <row r="106" spans="8:8" x14ac:dyDescent="0.2">
      <c r="H106" s="1"/>
    </row>
    <row r="107" spans="8:8" x14ac:dyDescent="0.2">
      <c r="H107" s="1"/>
    </row>
    <row r="108" spans="8:8" x14ac:dyDescent="0.2">
      <c r="H108" s="1"/>
    </row>
    <row r="109" spans="8:8" x14ac:dyDescent="0.2">
      <c r="H109" s="1"/>
    </row>
    <row r="110" spans="8:8" x14ac:dyDescent="0.2">
      <c r="H110" s="1"/>
    </row>
    <row r="111" spans="8:8" x14ac:dyDescent="0.2">
      <c r="H111" s="1"/>
    </row>
    <row r="112" spans="8:8" x14ac:dyDescent="0.2">
      <c r="H1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ThisWorkbook.SolveAll">
                <anchor moveWithCells="1" sizeWithCells="1">
                  <from>
                    <xdr:col>3</xdr:col>
                    <xdr:colOff>495300</xdr:colOff>
                    <xdr:row>18</xdr:row>
                    <xdr:rowOff>127000</xdr:rowOff>
                  </from>
                  <to>
                    <xdr:col>5</xdr:col>
                    <xdr:colOff>368300</xdr:colOff>
                    <xdr:row>20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5</xdr:col>
                    <xdr:colOff>508000</xdr:colOff>
                    <xdr:row>21</xdr:row>
                    <xdr:rowOff>0</xdr:rowOff>
                  </from>
                  <to>
                    <xdr:col>7</xdr:col>
                    <xdr:colOff>381000</xdr:colOff>
                    <xdr:row>22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F263-E8BD-2B4E-A975-4625FC0D5055}">
  <sheetPr codeName="Sheet2"/>
  <dimension ref="A2:M111"/>
  <sheetViews>
    <sheetView workbookViewId="0">
      <selection activeCell="F4" sqref="F4"/>
    </sheetView>
  </sheetViews>
  <sheetFormatPr baseColWidth="10" defaultRowHeight="16" x14ac:dyDescent="0.2"/>
  <cols>
    <col min="1" max="1" width="12.1640625" bestFit="1" customWidth="1"/>
    <col min="6" max="6" width="10.1640625" customWidth="1"/>
  </cols>
  <sheetData>
    <row r="2" spans="1:10" x14ac:dyDescent="0.2">
      <c r="C2" t="s">
        <v>8</v>
      </c>
      <c r="D2" t="s">
        <v>4</v>
      </c>
      <c r="E2" t="s">
        <v>17</v>
      </c>
      <c r="F2" t="s">
        <v>16</v>
      </c>
      <c r="G2" t="s">
        <v>45</v>
      </c>
      <c r="H2" t="s">
        <v>46</v>
      </c>
      <c r="I2" s="2" t="s">
        <v>39</v>
      </c>
      <c r="J2" t="s">
        <v>44</v>
      </c>
    </row>
    <row r="3" spans="1:10" x14ac:dyDescent="0.2">
      <c r="A3">
        <v>0</v>
      </c>
      <c r="B3">
        <f t="shared" ref="B3:B34" si="0">1-(EXP(A3)-1)/(EXP(1)-1)</f>
        <v>1</v>
      </c>
      <c r="C3" s="2">
        <f>B3*M$27</f>
        <v>1.1283264183425792</v>
      </c>
      <c r="D3" s="2">
        <f>tandem!C$7*tandem!C$4*LN((M$28-C3)/tandem!C$8+1)</f>
        <v>1.1773984863779876</v>
      </c>
      <c r="E3" s="2" t="e">
        <f>tandem!C$14*tandem!C$4*LN((M$29-C3)/tandem!C$15+1)</f>
        <v>#NUM!</v>
      </c>
      <c r="F3" s="2">
        <v>0</v>
      </c>
      <c r="G3" s="2">
        <f>A3*calc!M$30</f>
        <v>0</v>
      </c>
      <c r="H3" s="2">
        <f>A3*calc!M$31</f>
        <v>0</v>
      </c>
      <c r="I3" s="2">
        <f>tandem!C$9-tandem!C$8*(EXP(G3/tandem!C$7/tandem!C$4)-1)</f>
        <v>1.872001973641785</v>
      </c>
      <c r="J3" s="2">
        <f>tandem!C$16-tandem!C$15*(EXP(H3/tandem!C$14/tandem!C$4)-1)</f>
        <v>1.127998026358215</v>
      </c>
    </row>
    <row r="4" spans="1:10" x14ac:dyDescent="0.2">
      <c r="A4">
        <v>0.02</v>
      </c>
      <c r="B4">
        <f t="shared" si="0"/>
        <v>0.98824329065688121</v>
      </c>
      <c r="C4" s="2">
        <f t="shared" ref="C4:C53" si="1">B4*M$27</f>
        <v>1.1150610125979632</v>
      </c>
      <c r="D4" s="2">
        <f>tandem!C$7*tandem!C$4*LN((M$28-C4)/tandem!C$8+1)</f>
        <v>1.1783143311789925</v>
      </c>
      <c r="E4" s="2">
        <f>tandem!C$14*tandem!C$4*LN((M$29-C4)/tandem!C$15+1)</f>
        <v>0.90455847087164065</v>
      </c>
      <c r="F4" s="2">
        <f t="shared" ref="F4:F35" si="2">D4+E4</f>
        <v>2.0828728020506331</v>
      </c>
      <c r="G4" s="2">
        <f>A4*calc!M$30</f>
        <v>2.4504362299388949E-2</v>
      </c>
      <c r="H4" s="2">
        <f>A4*calc!M$31</f>
        <v>2.1562888708512681E-2</v>
      </c>
      <c r="I4" s="2">
        <f>tandem!C$9-tandem!C$8*(EXP(G4/tandem!C$7/tandem!C$4)-1)</f>
        <v>1.8720019735812956</v>
      </c>
      <c r="J4" s="2">
        <f>tandem!C$16-tandem!C$15*(EXP(H4/tandem!C$14/tandem!C$4)-1)</f>
        <v>1.1279980263574729</v>
      </c>
    </row>
    <row r="5" spans="1:10" x14ac:dyDescent="0.2">
      <c r="A5">
        <v>0.04</v>
      </c>
      <c r="B5">
        <f t="shared" si="0"/>
        <v>0.97624908003072619</v>
      </c>
      <c r="C5" s="2">
        <f t="shared" si="1"/>
        <v>1.1015276278813073</v>
      </c>
      <c r="D5" s="2">
        <f>tandem!C$7*tandem!C$4*LN((M$28-C5)/tandem!C$8+1)</f>
        <v>1.1792322841035108</v>
      </c>
      <c r="E5" s="2">
        <f>tandem!C$14*tandem!C$4*LN((M$29-C5)/tandem!C$15+1)</f>
        <v>0.93237252943759052</v>
      </c>
      <c r="F5" s="2">
        <f t="shared" si="2"/>
        <v>2.1116048135411014</v>
      </c>
      <c r="G5" s="2">
        <f>A5*calc!M$30</f>
        <v>4.9008724598777899E-2</v>
      </c>
      <c r="H5" s="2">
        <f>A5*calc!M$31</f>
        <v>4.3125777417025363E-2</v>
      </c>
      <c r="I5" s="2">
        <f>tandem!C$9-tandem!C$8*(EXP(G5/tandem!C$7/tandem!C$4)-1)</f>
        <v>1.8720019734842168</v>
      </c>
      <c r="J5" s="2">
        <f>tandem!C$16-tandem!C$15*(EXP(H5/tandem!C$14/tandem!C$4)-1)</f>
        <v>1.1279980263561804</v>
      </c>
    </row>
    <row r="6" spans="1:10" x14ac:dyDescent="0.2">
      <c r="A6">
        <v>0.06</v>
      </c>
      <c r="B6">
        <f t="shared" si="0"/>
        <v>0.96401257027735976</v>
      </c>
      <c r="C6" s="2">
        <f t="shared" si="1"/>
        <v>1.0877208506582772</v>
      </c>
      <c r="D6" s="2">
        <f>tandem!C$7*tandem!C$4*LN((M$28-C6)/tandem!C$8+1)</f>
        <v>1.1801523128481937</v>
      </c>
      <c r="E6" s="2">
        <f>tandem!C$14*tandem!C$4*LN((M$29-C6)/tandem!C$15+1)</f>
        <v>0.9486801230236116</v>
      </c>
      <c r="F6" s="2">
        <f t="shared" si="2"/>
        <v>2.1288324358718054</v>
      </c>
      <c r="G6" s="2">
        <f>A6*calc!M$30</f>
        <v>7.3513086898166838E-2</v>
      </c>
      <c r="H6" s="2">
        <f>A6*calc!M$31</f>
        <v>6.468866612553803E-2</v>
      </c>
      <c r="I6" s="2">
        <f>tandem!C$9-tandem!C$8*(EXP(G6/tandem!C$7/tandem!C$4)-1)</f>
        <v>1.8720019733284154</v>
      </c>
      <c r="J6" s="2">
        <f>tandem!C$16-tandem!C$15*(EXP(H6/tandem!C$14/tandem!C$4)-1)</f>
        <v>1.1279980263539289</v>
      </c>
    </row>
    <row r="7" spans="1:10" x14ac:dyDescent="0.2">
      <c r="A7">
        <v>0.08</v>
      </c>
      <c r="B7">
        <f t="shared" si="0"/>
        <v>0.9515288666297248</v>
      </c>
      <c r="C7" s="2">
        <f t="shared" si="1"/>
        <v>1.0736351580338912</v>
      </c>
      <c r="D7" s="2">
        <f>tandem!C$7*tandem!C$4*LN((M$28-C7)/tandem!C$8+1)</f>
        <v>1.1810743854408627</v>
      </c>
      <c r="E7" s="2">
        <f>tandem!C$14*tandem!C$4*LN((M$29-C7)/tandem!C$15+1)</f>
        <v>0.96033109833941865</v>
      </c>
      <c r="F7" s="2">
        <f t="shared" si="2"/>
        <v>2.1414054837802814</v>
      </c>
      <c r="G7" s="2">
        <f>A7*calc!M$30</f>
        <v>9.8017449197555798E-2</v>
      </c>
      <c r="H7" s="2">
        <f>A7*calc!M$31</f>
        <v>8.6251554834050725E-2</v>
      </c>
      <c r="I7" s="2">
        <f>tandem!C$9-tandem!C$8*(EXP(G7/tandem!C$7/tandem!C$4)-1)</f>
        <v>1.8720019730783712</v>
      </c>
      <c r="J7" s="2">
        <f>tandem!C$16-tandem!C$15*(EXP(H7/tandem!C$14/tandem!C$4)-1)</f>
        <v>1.1279980263500067</v>
      </c>
    </row>
    <row r="8" spans="1:10" x14ac:dyDescent="0.2">
      <c r="A8">
        <v>0.1</v>
      </c>
      <c r="B8">
        <f t="shared" si="0"/>
        <v>0.9387929754399108</v>
      </c>
      <c r="C8" s="2">
        <f t="shared" si="1"/>
        <v>1.0592649155432874</v>
      </c>
      <c r="D8" s="2">
        <f>tandem!C$7*tandem!C$4*LN((M$28-C8)/tandem!C$8+1)</f>
        <v>1.1819984702429793</v>
      </c>
      <c r="E8" s="2">
        <f>tandem!C$14*tandem!C$4*LN((M$29-C8)/tandem!C$15+1)</f>
        <v>0.9694433538833489</v>
      </c>
      <c r="F8" s="2">
        <f t="shared" si="2"/>
        <v>2.1514418241263282</v>
      </c>
      <c r="G8" s="2">
        <f>A8*calc!M$30</f>
        <v>0.12252181149694474</v>
      </c>
      <c r="H8" s="2">
        <f>A8*calc!M$31</f>
        <v>0.10781444354256341</v>
      </c>
      <c r="I8" s="2">
        <f>tandem!C$9-tandem!C$8*(EXP(G8/tandem!C$7/tandem!C$4)-1)</f>
        <v>1.8720019726770767</v>
      </c>
      <c r="J8" s="2">
        <f>tandem!C$16-tandem!C$15*(EXP(H8/tandem!C$14/tandem!C$4)-1)</f>
        <v>1.1279980263431739</v>
      </c>
    </row>
    <row r="9" spans="1:10" x14ac:dyDescent="0.2">
      <c r="A9">
        <v>0.12</v>
      </c>
      <c r="B9">
        <f t="shared" si="0"/>
        <v>0.92579980218162761</v>
      </c>
      <c r="C9" s="2">
        <f t="shared" si="1"/>
        <v>1.0446043748978642</v>
      </c>
      <c r="D9" s="2">
        <f>tandem!C$7*tandem!C$4*LN((M$28-C9)/tandem!C$8+1)</f>
        <v>1.1829245359518532</v>
      </c>
      <c r="E9" s="2">
        <f>tandem!C$14*tandem!C$4*LN((M$29-C9)/tandem!C$15+1)</f>
        <v>0.97695465714876284</v>
      </c>
      <c r="F9" s="2">
        <f t="shared" si="2"/>
        <v>2.159879193100616</v>
      </c>
      <c r="G9" s="2">
        <f>A9*calc!M$30</f>
        <v>0.14702617379633368</v>
      </c>
      <c r="H9" s="2">
        <f>A9*calc!M$31</f>
        <v>0.12937733225107606</v>
      </c>
      <c r="I9" s="2">
        <f>tandem!C$9-tandem!C$8*(EXP(G9/tandem!C$7/tandem!C$4)-1)</f>
        <v>1.8720019720330419</v>
      </c>
      <c r="J9" s="2">
        <f>tandem!C$16-tandem!C$15*(EXP(H9/tandem!C$14/tandem!C$4)-1)</f>
        <v>1.1279980263312717</v>
      </c>
    </row>
    <row r="10" spans="1:10" x14ac:dyDescent="0.2">
      <c r="A10">
        <v>0.14000000000000001</v>
      </c>
      <c r="B10">
        <f t="shared" si="0"/>
        <v>0.91254414941232731</v>
      </c>
      <c r="C10" s="2">
        <f t="shared" si="1"/>
        <v>1.0296476716858867</v>
      </c>
      <c r="D10" s="2">
        <f>tandem!C$7*tandem!C$4*LN((M$28-C10)/tandem!C$8+1)</f>
        <v>1.1838525516026017</v>
      </c>
      <c r="E10" s="2">
        <f>tandem!C$14*tandem!C$4*LN((M$29-C10)/tandem!C$15+1)</f>
        <v>0.98336350723423338</v>
      </c>
      <c r="F10" s="2">
        <f t="shared" si="2"/>
        <v>2.1672160588368352</v>
      </c>
      <c r="G10" s="2">
        <f>A10*calc!M$30</f>
        <v>0.17153053609572266</v>
      </c>
      <c r="H10" s="2">
        <f>A10*calc!M$31</f>
        <v>0.15094022095958878</v>
      </c>
      <c r="I10" s="2">
        <f>tandem!C$9-tandem!C$8*(EXP(G10/tandem!C$7/tandem!C$4)-1)</f>
        <v>1.8720019709994351</v>
      </c>
      <c r="J10" s="2">
        <f>tandem!C$16-tandem!C$15*(EXP(H10/tandem!C$14/tandem!C$4)-1)</f>
        <v>1.127998026310538</v>
      </c>
    </row>
    <row r="11" spans="1:10" x14ac:dyDescent="0.2">
      <c r="A11">
        <v>0.16</v>
      </c>
      <c r="B11">
        <f t="shared" si="0"/>
        <v>0.89902071469415767</v>
      </c>
      <c r="C11" s="2">
        <f t="shared" si="1"/>
        <v>1.0143888230266447</v>
      </c>
      <c r="D11" s="2">
        <f>tandem!C$7*tandem!C$4*LN((M$28-C11)/tandem!C$8+1)</f>
        <v>1.1847824865698628</v>
      </c>
      <c r="E11" s="2">
        <f>tandem!C$14*tandem!C$4*LN((M$29-C11)/tandem!C$15+1)</f>
        <v>0.98896677929965204</v>
      </c>
      <c r="F11" s="2">
        <f t="shared" si="2"/>
        <v>2.1737492658695148</v>
      </c>
      <c r="G11" s="2">
        <f>A11*calc!M$30</f>
        <v>0.1960348983951116</v>
      </c>
      <c r="H11" s="2">
        <f>A11*calc!M$31</f>
        <v>0.17250310966810145</v>
      </c>
      <c r="I11" s="2">
        <f>tandem!C$9-tandem!C$8*(EXP(G11/tandem!C$7/tandem!C$4)-1)</f>
        <v>1.8720019693406063</v>
      </c>
      <c r="J11" s="2">
        <f>tandem!C$16-tandem!C$15*(EXP(H11/tandem!C$14/tandem!C$4)-1)</f>
        <v>1.1279980262744203</v>
      </c>
    </row>
    <row r="12" spans="1:10" x14ac:dyDescent="0.2">
      <c r="A12">
        <v>0.18</v>
      </c>
      <c r="B12">
        <f t="shared" si="0"/>
        <v>0.88522408847291678</v>
      </c>
      <c r="C12" s="2">
        <f t="shared" si="1"/>
        <v>0.99882172517722068</v>
      </c>
      <c r="D12" s="2">
        <f>tandem!C$7*tandem!C$4*LN((M$28-C12)/tandem!C$8+1)</f>
        <v>1.1857143105692725</v>
      </c>
      <c r="E12" s="2">
        <f>tandem!C$14*tandem!C$4*LN((M$29-C12)/tandem!C$15+1)</f>
        <v>0.99395564878174514</v>
      </c>
      <c r="F12" s="2">
        <f t="shared" si="2"/>
        <v>2.1796699593510178</v>
      </c>
      <c r="G12" s="2">
        <f>A12*calc!M$30</f>
        <v>0.22053926069450053</v>
      </c>
      <c r="H12" s="2">
        <f>A12*calc!M$31</f>
        <v>0.19406599837661412</v>
      </c>
      <c r="I12" s="2">
        <f>tandem!C$9-tandem!C$8*(EXP(G12/tandem!C$7/tandem!C$4)-1)</f>
        <v>1.8720019666783634</v>
      </c>
      <c r="J12" s="2">
        <f>tandem!C$16-tandem!C$15*(EXP(H12/tandem!C$14/tandem!C$4)-1)</f>
        <v>1.127998026211503</v>
      </c>
    </row>
    <row r="13" spans="1:10" x14ac:dyDescent="0.2">
      <c r="A13">
        <v>0.2</v>
      </c>
      <c r="B13">
        <f t="shared" si="0"/>
        <v>0.87114875191415841</v>
      </c>
      <c r="C13" s="2">
        <f t="shared" si="1"/>
        <v>0.98294015109091049</v>
      </c>
      <c r="D13" s="2">
        <f>tandem!C$7*tandem!C$4*LN((M$28-C13)/tandem!C$8+1)</f>
        <v>1.1866479936587095</v>
      </c>
      <c r="E13" s="2">
        <f>tandem!C$14*tandem!C$4*LN((M$29-C13)/tandem!C$15+1)</f>
        <v>0.99846048714509172</v>
      </c>
      <c r="F13" s="2">
        <f t="shared" si="2"/>
        <v>2.1851084808038013</v>
      </c>
      <c r="G13" s="2">
        <f>A13*calc!M$30</f>
        <v>0.24504362299388949</v>
      </c>
      <c r="H13" s="2">
        <f>A13*calc!M$31</f>
        <v>0.21562888708512681</v>
      </c>
      <c r="I13" s="2">
        <f>tandem!C$9-tandem!C$8*(EXP(G13/tandem!C$7/tandem!C$4)-1)</f>
        <v>1.8720019624057478</v>
      </c>
      <c r="J13" s="2">
        <f>tandem!C$16-tandem!C$15*(EXP(H13/tandem!C$14/tandem!C$4)-1)</f>
        <v>1.127998026101902</v>
      </c>
    </row>
    <row r="14" spans="1:10" x14ac:dyDescent="0.2">
      <c r="A14">
        <v>0.22</v>
      </c>
      <c r="B14">
        <f t="shared" si="0"/>
        <v>0.85678907469558574</v>
      </c>
      <c r="C14" s="2">
        <f t="shared" si="1"/>
        <v>0.96673774792632283</v>
      </c>
      <c r="D14" s="2">
        <f>tandem!C$7*tandem!C$4*LN((M$28-C14)/tandem!C$8+1)</f>
        <v>1.1875835062393205</v>
      </c>
      <c r="E14" s="2">
        <f>tandem!C$14*tandem!C$4*LN((M$29-C14)/tandem!C$15+1)</f>
        <v>1.0025741929496812</v>
      </c>
      <c r="F14" s="2">
        <f t="shared" si="2"/>
        <v>2.1901576991890019</v>
      </c>
      <c r="G14" s="2">
        <f>A14*calc!M$30</f>
        <v>0.26954798529327845</v>
      </c>
      <c r="H14" s="2">
        <f>A14*calc!M$31</f>
        <v>0.23719177579363948</v>
      </c>
      <c r="I14" s="2">
        <f>tandem!C$9-tandem!C$8*(EXP(G14/tandem!C$7/tandem!C$4)-1)</f>
        <v>1.8720019555486564</v>
      </c>
      <c r="J14" s="2">
        <f>tandem!C$16-tandem!C$15*(EXP(H14/tandem!C$14/tandem!C$4)-1)</f>
        <v>1.1279980259109779</v>
      </c>
    </row>
    <row r="15" spans="1:10" x14ac:dyDescent="0.2">
      <c r="A15">
        <v>0.24</v>
      </c>
      <c r="B15">
        <f t="shared" si="0"/>
        <v>0.84213931275484599</v>
      </c>
      <c r="C15" s="2">
        <f t="shared" si="1"/>
        <v>0.95020803450615654</v>
      </c>
      <c r="D15" s="2">
        <f>tandem!C$7*tandem!C$4*LN((M$28-C15)/tandem!C$8+1)</f>
        <v>1.1885208190563261</v>
      </c>
      <c r="E15" s="2">
        <f>tandem!C$14*tandem!C$4*LN((M$29-C15)/tandem!C$15+1)</f>
        <v>1.0063653055859605</v>
      </c>
      <c r="F15" s="2">
        <f t="shared" si="2"/>
        <v>2.1948861246422866</v>
      </c>
      <c r="G15" s="2">
        <f>A15*calc!M$30</f>
        <v>0.29405234759266735</v>
      </c>
      <c r="H15" s="2">
        <f>A15*calc!M$31</f>
        <v>0.25875466450215212</v>
      </c>
      <c r="I15" s="2">
        <f>tandem!C$9-tandem!C$8*(EXP(G15/tandem!C$7/tandem!C$4)-1)</f>
        <v>1.8720019445437575</v>
      </c>
      <c r="J15" s="2">
        <f>tandem!C$16-tandem!C$15*(EXP(H15/tandem!C$14/tandem!C$4)-1)</f>
        <v>1.1279980255783895</v>
      </c>
    </row>
    <row r="16" spans="1:10" x14ac:dyDescent="0.2">
      <c r="A16">
        <v>0.26</v>
      </c>
      <c r="B16">
        <f t="shared" si="0"/>
        <v>0.82719360599183045</v>
      </c>
      <c r="C16" s="2">
        <f t="shared" si="1"/>
        <v>0.9333443987246447</v>
      </c>
      <c r="D16" s="2">
        <f>tandem!C$7*tandem!C$4*LN((M$28-C16)/tandem!C$8+1)</f>
        <v>1.1894599031996202</v>
      </c>
      <c r="E16" s="2">
        <f>tandem!C$14*tandem!C$4*LN((M$29-C16)/tandem!C$15+1)</f>
        <v>1.0098858412216927</v>
      </c>
      <c r="F16" s="2">
        <f t="shared" si="2"/>
        <v>2.1993457444213131</v>
      </c>
      <c r="G16" s="2">
        <f>A16*calc!M$30</f>
        <v>0.31855670989205637</v>
      </c>
      <c r="H16" s="2">
        <f>A16*calc!M$31</f>
        <v>0.28031755321066487</v>
      </c>
      <c r="I16" s="2">
        <f>tandem!C$9-tandem!C$8*(EXP(G16/tandem!C$7/tandem!C$4)-1)</f>
        <v>1.8720019268820705</v>
      </c>
      <c r="J16" s="2">
        <f>tandem!C$16-tandem!C$15*(EXP(H16/tandem!C$14/tandem!C$4)-1)</f>
        <v>1.1279980249990231</v>
      </c>
    </row>
    <row r="17" spans="1:13" x14ac:dyDescent="0.2">
      <c r="A17">
        <v>0.28000000000000003</v>
      </c>
      <c r="B17">
        <f t="shared" si="0"/>
        <v>0.81194597592455509</v>
      </c>
      <c r="C17" s="2">
        <f t="shared" si="1"/>
        <v>0.91614009490262327</v>
      </c>
      <c r="D17" s="2">
        <f>tandem!C$7*tandem!C$4*LN((M$28-C17)/tandem!C$8+1)</f>
        <v>1.1904007301041672</v>
      </c>
      <c r="E17" s="2">
        <f>tandem!C$14*tandem!C$4*LN((M$29-C17)/tandem!C$15+1)</f>
        <v>1.0131762110783749</v>
      </c>
      <c r="F17" s="2">
        <f t="shared" si="2"/>
        <v>2.2035769411825421</v>
      </c>
      <c r="G17" s="2">
        <f>A17*calc!M$30</f>
        <v>0.34306107219144533</v>
      </c>
      <c r="H17" s="2">
        <f>A17*calc!M$31</f>
        <v>0.30188044191917757</v>
      </c>
      <c r="I17" s="2">
        <f>tandem!C$9-tandem!C$8*(EXP(G17/tandem!C$7/tandem!C$4)-1)</f>
        <v>1.8720018985369498</v>
      </c>
      <c r="J17" s="2">
        <f>tandem!C$16-tandem!C$15*(EXP(H17/tandem!C$14/tandem!C$4)-1)</f>
        <v>1.1279980239897716</v>
      </c>
    </row>
    <row r="18" spans="1:13" x14ac:dyDescent="0.2">
      <c r="A18">
        <v>0.3</v>
      </c>
      <c r="B18">
        <f t="shared" si="0"/>
        <v>0.79639032329768833</v>
      </c>
      <c r="C18" s="2">
        <f t="shared" si="1"/>
        <v>0.89858824108916935</v>
      </c>
      <c r="D18" s="2">
        <f>tandem!C$7*tandem!C$4*LN((M$28-C18)/tandem!C$8+1)</f>
        <v>1.1913432715502035</v>
      </c>
      <c r="E18" s="2">
        <f>tandem!C$14*tandem!C$4*LN((M$29-C18)/tandem!C$15+1)</f>
        <v>1.0162684358152663</v>
      </c>
      <c r="F18" s="2">
        <f t="shared" si="2"/>
        <v>2.2076117073654697</v>
      </c>
      <c r="G18" s="2">
        <f>A18*calc!M$30</f>
        <v>0.36756543449083423</v>
      </c>
      <c r="H18" s="2">
        <f>A18*calc!M$31</f>
        <v>0.32344333062769021</v>
      </c>
      <c r="I18" s="2">
        <f>tandem!C$9-tandem!C$8*(EXP(G18/tandem!C$7/tandem!C$4)-1)</f>
        <v>1.8720018530460591</v>
      </c>
      <c r="J18" s="2">
        <f>tandem!C$16-tandem!C$15*(EXP(H18/tandem!C$14/tandem!C$4)-1)</f>
        <v>1.1279980222316635</v>
      </c>
    </row>
    <row r="19" spans="1:13" x14ac:dyDescent="0.2">
      <c r="A19">
        <v>0.32</v>
      </c>
      <c r="B19">
        <f t="shared" si="0"/>
        <v>0.78052042564276825</v>
      </c>
      <c r="C19" s="2">
        <f t="shared" si="1"/>
        <v>0.8806818163087301</v>
      </c>
      <c r="D19" s="2">
        <f>tandem!C$7*tandem!C$4*LN((M$28-C19)/tandem!C$8+1)</f>
        <v>1.1922874996632511</v>
      </c>
      <c r="E19" s="2">
        <f>tandem!C$14*tandem!C$4*LN((M$29-C19)/tandem!C$15+1)</f>
        <v>1.0191883187068256</v>
      </c>
      <c r="F19" s="2">
        <f t="shared" si="2"/>
        <v>2.2114758183700767</v>
      </c>
      <c r="G19" s="2">
        <f>A19*calc!M$30</f>
        <v>0.39206979679022319</v>
      </c>
      <c r="H19" s="2">
        <f>A19*calc!M$31</f>
        <v>0.3450062193362029</v>
      </c>
      <c r="I19" s="2">
        <f>tandem!C$9-tandem!C$8*(EXP(G19/tandem!C$7/tandem!C$4)-1)</f>
        <v>1.8720017800380402</v>
      </c>
      <c r="J19" s="2">
        <f>tandem!C$16-tandem!C$15*(EXP(H19/tandem!C$14/tandem!C$4)-1)</f>
        <v>1.1279980191690531</v>
      </c>
    </row>
    <row r="20" spans="1:13" x14ac:dyDescent="0.2">
      <c r="A20">
        <v>0.34</v>
      </c>
      <c r="B20">
        <f t="shared" si="0"/>
        <v>0.76432993478913136</v>
      </c>
      <c r="C20" s="2">
        <f t="shared" si="1"/>
        <v>0.86241365775263767</v>
      </c>
      <c r="D20" s="2">
        <f>tandem!C$7*tandem!C$4*LN((M$28-C20)/tandem!C$8+1)</f>
        <v>1.1932333869139509</v>
      </c>
      <c r="E20" s="2">
        <f>tandem!C$14*tandem!C$4*LN((M$29-C20)/tandem!C$15+1)</f>
        <v>1.0219569578275247</v>
      </c>
      <c r="F20" s="2">
        <f t="shared" si="2"/>
        <v>2.2151903447414756</v>
      </c>
      <c r="G20" s="2">
        <f>A20*calc!M$30</f>
        <v>0.41657415908961215</v>
      </c>
      <c r="H20" s="2">
        <f>A20*calc!M$31</f>
        <v>0.3665691080447156</v>
      </c>
      <c r="I20" s="2">
        <f>tandem!C$9-tandem!C$8*(EXP(G20/tandem!C$7/tandem!C$4)-1)</f>
        <v>1.8720016628679701</v>
      </c>
      <c r="J20" s="2">
        <f>tandem!C$16-tandem!C$15*(EXP(H20/tandem!C$14/tandem!C$4)-1)</f>
        <v>1.1279980138340102</v>
      </c>
    </row>
    <row r="21" spans="1:13" x14ac:dyDescent="0.2">
      <c r="A21">
        <v>0.36</v>
      </c>
      <c r="B21">
        <f t="shared" si="0"/>
        <v>0.74781237432456016</v>
      </c>
      <c r="C21" s="2">
        <f t="shared" si="1"/>
        <v>0.84377645791389111</v>
      </c>
      <c r="D21" s="2">
        <f>tandem!C$7*tandem!C$4*LN((M$28-C21)/tandem!C$8+1)</f>
        <v>1.1941809061177209</v>
      </c>
      <c r="E21" s="2">
        <f>tandem!C$14*tandem!C$4*LN((M$29-C21)/tandem!C$15+1)</f>
        <v>1.0245918247278525</v>
      </c>
      <c r="F21" s="2">
        <f t="shared" si="2"/>
        <v>2.2187727308455734</v>
      </c>
      <c r="G21" s="2">
        <f>A21*calc!M$30</f>
        <v>0.44107852138900105</v>
      </c>
      <c r="H21" s="2">
        <f>A21*calc!M$31</f>
        <v>0.38813199675322824</v>
      </c>
      <c r="I21" s="2">
        <f>tandem!C$9-tandem!C$8*(EXP(G21/tandem!C$7/tandem!C$4)-1)</f>
        <v>1.8720014748225258</v>
      </c>
      <c r="J21" s="2">
        <f>tandem!C$16-tandem!C$15*(EXP(H21/tandem!C$14/tandem!C$4)-1)</f>
        <v>1.1279980045404079</v>
      </c>
    </row>
    <row r="22" spans="1:13" x14ac:dyDescent="0.2">
      <c r="A22">
        <v>0.38</v>
      </c>
      <c r="B22">
        <f t="shared" si="0"/>
        <v>0.73096113700463139</v>
      </c>
      <c r="C22" s="2">
        <f t="shared" si="1"/>
        <v>0.82476276166405504</v>
      </c>
      <c r="D22" s="2">
        <f>tandem!C$7*tandem!C$4*LN((M$28-C22)/tandem!C$8+1)</f>
        <v>1.1951300304342449</v>
      </c>
      <c r="E22" s="2">
        <f>tandem!C$14*tandem!C$4*LN((M$29-C22)/tandem!C$15+1)</f>
        <v>1.0271075506813476</v>
      </c>
      <c r="F22" s="2">
        <f t="shared" si="2"/>
        <v>2.2222375811155928</v>
      </c>
      <c r="G22" s="2">
        <f>A22*calc!M$30</f>
        <v>0.46558288368839001</v>
      </c>
      <c r="H22" s="2">
        <f>A22*calc!M$31</f>
        <v>0.40969488546174093</v>
      </c>
      <c r="I22" s="2">
        <f>tandem!C$9-tandem!C$8*(EXP(G22/tandem!C$7/tandem!C$4)-1)</f>
        <v>1.8720011730296786</v>
      </c>
      <c r="J22" s="2">
        <f>tandem!C$16-tandem!C$15*(EXP(H22/tandem!C$14/tandem!C$4)-1)</f>
        <v>1.1279979883510267</v>
      </c>
    </row>
    <row r="23" spans="1:13" x14ac:dyDescent="0.2">
      <c r="A23">
        <v>0.4</v>
      </c>
      <c r="B23">
        <f t="shared" si="0"/>
        <v>0.71376948210973135</v>
      </c>
      <c r="C23" s="2">
        <f t="shared" si="1"/>
        <v>0.80536496327111085</v>
      </c>
      <c r="D23" s="2">
        <f>tandem!C$7*tandem!C$4*LN((M$28-C23)/tandem!C$8+1)</f>
        <v>1.1960807333668031</v>
      </c>
      <c r="E23" s="2">
        <f>tandem!C$14*tandem!C$4*LN((M$29-C23)/tandem!C$15+1)</f>
        <v>1.0295165107625526</v>
      </c>
      <c r="F23" s="2">
        <f t="shared" si="2"/>
        <v>2.2255972441293554</v>
      </c>
      <c r="G23" s="2">
        <f>A23*calc!M$30</f>
        <v>0.49008724598777897</v>
      </c>
      <c r="H23" s="2">
        <f>A23*calc!M$31</f>
        <v>0.43125777417025363</v>
      </c>
      <c r="I23" s="2">
        <f>tandem!C$9-tandem!C$8*(EXP(G23/tandem!C$7/tandem!C$4)-1)</f>
        <v>1.8720006886844025</v>
      </c>
      <c r="J23" s="2">
        <f>tandem!C$16-tandem!C$15*(EXP(H23/tandem!C$14/tandem!C$4)-1)</f>
        <v>1.1279979601492534</v>
      </c>
    </row>
    <row r="24" spans="1:13" x14ac:dyDescent="0.2">
      <c r="A24">
        <v>0.42</v>
      </c>
      <c r="B24">
        <f t="shared" si="0"/>
        <v>0.69623053274867686</v>
      </c>
      <c r="C24" s="2">
        <f t="shared" si="1"/>
        <v>0.78557530335706038</v>
      </c>
      <c r="D24" s="2">
        <f>tandem!C$7*tandem!C$4*LN((M$28-C24)/tandem!C$8+1)</f>
        <v>1.1970329887614435</v>
      </c>
      <c r="E24" s="2">
        <f>tandem!C$14*tandem!C$4*LN((M$29-C24)/tandem!C$15+1)</f>
        <v>1.0318292650974485</v>
      </c>
      <c r="F24" s="2">
        <f t="shared" si="2"/>
        <v>2.228862253858892</v>
      </c>
      <c r="G24" s="2">
        <f>A24*calc!M$30</f>
        <v>0.51459160828716788</v>
      </c>
      <c r="H24" s="2">
        <f>A24*calc!M$31</f>
        <v>0.45282066287876627</v>
      </c>
      <c r="I24" s="2">
        <f>tandem!C$9-tandem!C$8*(EXP(G24/tandem!C$7/tandem!C$4)-1)</f>
        <v>1.8719999113619821</v>
      </c>
      <c r="J24" s="2">
        <f>tandem!C$16-tandem!C$15*(EXP(H24/tandem!C$14/tandem!C$4)-1)</f>
        <v>1.1279979110219889</v>
      </c>
    </row>
    <row r="25" spans="1:13" x14ac:dyDescent="0.2">
      <c r="A25">
        <v>0.44</v>
      </c>
      <c r="B25">
        <f t="shared" si="0"/>
        <v>0.6783372731078674</v>
      </c>
      <c r="C25" s="2">
        <f t="shared" si="1"/>
        <v>0.76538586579407197</v>
      </c>
      <c r="D25" s="2">
        <f>tandem!C$7*tandem!C$4*LN((M$28-C25)/tandem!C$8+1)</f>
        <v>1.1979867708060075</v>
      </c>
      <c r="E25" s="2">
        <f>tandem!C$14*tandem!C$4*LN((M$29-C25)/tandem!C$15+1)</f>
        <v>1.0340548972509755</v>
      </c>
      <c r="F25" s="2">
        <f t="shared" si="2"/>
        <v>2.2320416680569828</v>
      </c>
      <c r="G25" s="2">
        <f>A25*calc!M$30</f>
        <v>0.53909597058655689</v>
      </c>
      <c r="H25" s="2">
        <f>A25*calc!M$31</f>
        <v>0.47438355158727896</v>
      </c>
      <c r="I25" s="2">
        <f>tandem!C$9-tandem!C$8*(EXP(G25/tandem!C$7/tandem!C$4)-1)</f>
        <v>1.8719986638425463</v>
      </c>
      <c r="J25" s="2">
        <f>tandem!C$16-tandem!C$15*(EXP(H25/tandem!C$14/tandem!C$4)-1)</f>
        <v>1.1279978254426848</v>
      </c>
    </row>
    <row r="26" spans="1:13" x14ac:dyDescent="0.2">
      <c r="A26">
        <v>0.46</v>
      </c>
      <c r="B26">
        <f t="shared" si="0"/>
        <v>0.66008254564486712</v>
      </c>
      <c r="C26" s="2">
        <f t="shared" si="1"/>
        <v>0.74478857453792491</v>
      </c>
      <c r="D26" s="2">
        <f>tandem!C$7*tandem!C$4*LN((M$28-C26)/tandem!C$8+1)</f>
        <v>1.1989420540290119</v>
      </c>
      <c r="E26" s="2">
        <f>tandem!C$14*tandem!C$4*LN((M$29-C26)/tandem!C$15+1)</f>
        <v>1.0362012772492535</v>
      </c>
      <c r="F26" s="2">
        <f t="shared" si="2"/>
        <v>2.2351433312782651</v>
      </c>
      <c r="G26" s="2">
        <f>A26*calc!M$30</f>
        <v>0.5636003328859458</v>
      </c>
      <c r="H26" s="2">
        <f>A26*calc!M$31</f>
        <v>0.49594644029579166</v>
      </c>
      <c r="I26" s="2">
        <f>tandem!C$9-tandem!C$8*(EXP(G26/tandem!C$7/tandem!C$4)-1)</f>
        <v>1.8719966617071373</v>
      </c>
      <c r="J26" s="2">
        <f>tandem!C$16-tandem!C$15*(EXP(H26/tandem!C$14/tandem!C$4)-1)</f>
        <v>1.1279976763642181</v>
      </c>
    </row>
    <row r="27" spans="1:13" x14ac:dyDescent="0.2">
      <c r="A27">
        <v>0.48</v>
      </c>
      <c r="B27">
        <f t="shared" si="0"/>
        <v>0.64145904822529087</v>
      </c>
      <c r="C27" s="2">
        <f t="shared" si="1"/>
        <v>0.72377519039748217</v>
      </c>
      <c r="D27" s="2">
        <f>tandem!C$7*tandem!C$4*LN((M$28-C27)/tandem!C$8+1)</f>
        <v>1.1998988132983945</v>
      </c>
      <c r="E27" s="2">
        <f>tandem!C$14*tandem!C$4*LN((M$29-C27)/tandem!C$15+1)</f>
        <v>1.0382752685228054</v>
      </c>
      <c r="F27" s="2">
        <f t="shared" si="2"/>
        <v>2.2381740818211999</v>
      </c>
      <c r="G27" s="2">
        <f>A27*calc!M$30</f>
        <v>0.5881046951853347</v>
      </c>
      <c r="H27" s="2">
        <f>A27*calc!M$31</f>
        <v>0.51750932900430424</v>
      </c>
      <c r="I27" s="2">
        <f>tandem!C$9-tandem!C$8*(EXP(G27/tandem!C$7/tandem!C$4)-1)</f>
        <v>1.8719934484937142</v>
      </c>
      <c r="J27" s="2">
        <f>tandem!C$16-tandem!C$15*(EXP(H27/tandem!C$14/tandem!C$4)-1)</f>
        <v>1.1279974166707154</v>
      </c>
      <c r="L27" t="s">
        <v>47</v>
      </c>
      <c r="M27">
        <v>1.1283264183425792</v>
      </c>
    </row>
    <row r="28" spans="1:13" x14ac:dyDescent="0.2">
      <c r="A28">
        <v>0.5</v>
      </c>
      <c r="B28">
        <f t="shared" si="0"/>
        <v>0.62245933120185448</v>
      </c>
      <c r="C28" s="2">
        <f t="shared" si="1"/>
        <v>0.70233730773890568</v>
      </c>
      <c r="D28" s="2">
        <f>tandem!C$7*tandem!C$4*LN((M$28-C28)/tandem!C$8+1)</f>
        <v>1.2008570238201284</v>
      </c>
      <c r="E28" s="2">
        <f>tandem!C$14*tandem!C$4*LN((M$29-C28)/tandem!C$15+1)</f>
        <v>1.0402828925338297</v>
      </c>
      <c r="F28" s="2">
        <f t="shared" si="2"/>
        <v>2.241139916353958</v>
      </c>
      <c r="G28" s="2">
        <f>A28*calc!M$30</f>
        <v>0.61260905748472372</v>
      </c>
      <c r="H28" s="2">
        <f>A28*calc!M$31</f>
        <v>0.53907221771281699</v>
      </c>
      <c r="I28" s="2">
        <f>tandem!C$9-tandem!C$8*(EXP(G28/tandem!C$7/tandem!C$4)-1)</f>
        <v>1.871988291629471</v>
      </c>
      <c r="J28" s="2">
        <f>tandem!C$16-tandem!C$15*(EXP(H28/tandem!C$14/tandem!C$4)-1)</f>
        <v>1.1279969642867003</v>
      </c>
      <c r="L28" t="s">
        <v>48</v>
      </c>
      <c r="M28">
        <v>1.872001973641785</v>
      </c>
    </row>
    <row r="29" spans="1:13" x14ac:dyDescent="0.2">
      <c r="A29">
        <v>0.52</v>
      </c>
      <c r="B29">
        <f t="shared" si="0"/>
        <v>0.6030757944344155</v>
      </c>
      <c r="C29" s="2">
        <f t="shared" si="1"/>
        <v>0.68046635112328957</v>
      </c>
      <c r="D29" s="2">
        <f>tandem!C$7*tandem!C$4*LN((M$28-C29)/tandem!C$8+1)</f>
        <v>1.201816661136712</v>
      </c>
      <c r="E29" s="2">
        <f>tandem!C$14*tandem!C$4*LN((M$29-C29)/tandem!C$15+1)</f>
        <v>1.0422294610642309</v>
      </c>
      <c r="F29" s="2">
        <f t="shared" si="2"/>
        <v>2.2440461222009427</v>
      </c>
      <c r="G29" s="2">
        <f>A29*calc!M$30</f>
        <v>0.63711341978411273</v>
      </c>
      <c r="H29" s="2">
        <f>A29*calc!M$31</f>
        <v>0.56063510642132974</v>
      </c>
      <c r="I29" s="2">
        <f>tandem!C$9-tandem!C$8*(EXP(G29/tandem!C$7/tandem!C$4)-1)</f>
        <v>1.871980015413321</v>
      </c>
      <c r="J29" s="2">
        <f>tandem!C$16-tandem!C$15*(EXP(H29/tandem!C$14/tandem!C$4)-1)</f>
        <v>1.127996176237346</v>
      </c>
      <c r="L29" t="s">
        <v>49</v>
      </c>
      <c r="M29">
        <v>1.127998026358215</v>
      </c>
    </row>
    <row r="30" spans="1:13" x14ac:dyDescent="0.2">
      <c r="A30">
        <v>0.54</v>
      </c>
      <c r="B30">
        <f t="shared" si="0"/>
        <v>0.58330068424981629</v>
      </c>
      <c r="C30" s="2">
        <f t="shared" si="1"/>
        <v>0.65815357187637091</v>
      </c>
      <c r="D30" s="2">
        <f>tandem!C$7*tandem!C$4*LN((M$28-C30)/tandem!C$8+1)</f>
        <v>1.2027777011255412</v>
      </c>
      <c r="E30" s="2">
        <f>tandem!C$14*tandem!C$4*LN((M$29-C30)/tandem!C$15+1)</f>
        <v>1.0441196835003417</v>
      </c>
      <c r="F30" s="2">
        <f t="shared" si="2"/>
        <v>2.2468973846258828</v>
      </c>
      <c r="G30" s="2">
        <f>A30*calc!M$30</f>
        <v>0.66161778208350164</v>
      </c>
      <c r="H30" s="2">
        <f>A30*calc!M$31</f>
        <v>0.58219799512984238</v>
      </c>
      <c r="I30" s="2">
        <f>tandem!C$9-tandem!C$8*(EXP(G30/tandem!C$7/tandem!C$4)-1)</f>
        <v>1.8719667329706329</v>
      </c>
      <c r="J30" s="2">
        <f>tandem!C$16-tandem!C$15*(EXP(H30/tandem!C$14/tandem!C$4)-1)</f>
        <v>1.1279948034616414</v>
      </c>
      <c r="L30" t="s">
        <v>40</v>
      </c>
      <c r="M30" s="2">
        <v>1.2252181149694474</v>
      </c>
    </row>
    <row r="31" spans="1:13" x14ac:dyDescent="0.2">
      <c r="A31">
        <v>0.56000000000000005</v>
      </c>
      <c r="B31">
        <f t="shared" si="0"/>
        <v>0.56312609034031147</v>
      </c>
      <c r="C31" s="2">
        <f t="shared" si="1"/>
        <v>0.63539004458894333</v>
      </c>
      <c r="D31" s="2">
        <f>tandem!C$7*tandem!C$4*LN((M$28-C31)/tandem!C$8+1)</f>
        <v>1.2037401199971653</v>
      </c>
      <c r="E31" s="2">
        <f>tandem!C$14*tandem!C$4*LN((M$29-C31)/tandem!C$15+1)</f>
        <v>1.0459577545793386</v>
      </c>
      <c r="F31" s="2">
        <f t="shared" si="2"/>
        <v>2.2496978745765039</v>
      </c>
      <c r="G31" s="2">
        <f>A31*calc!M$30</f>
        <v>0.68612214438289065</v>
      </c>
      <c r="H31" s="2">
        <f>A31*calc!M$31</f>
        <v>0.60376088383835513</v>
      </c>
      <c r="I31" s="2">
        <f>tandem!C$9-tandem!C$8*(EXP(G31/tandem!C$7/tandem!C$4)-1)</f>
        <v>1.8719454160692179</v>
      </c>
      <c r="J31" s="2">
        <f>tandem!C$16-tandem!C$15*(EXP(H31/tandem!C$14/tandem!C$4)-1)</f>
        <v>1.1279924120972882</v>
      </c>
      <c r="L31" t="s">
        <v>42</v>
      </c>
      <c r="M31" s="2">
        <v>1.078144435425634</v>
      </c>
    </row>
    <row r="32" spans="1:13" x14ac:dyDescent="0.2">
      <c r="A32">
        <v>0.57999999999999996</v>
      </c>
      <c r="B32">
        <f t="shared" si="0"/>
        <v>0.54254394259933914</v>
      </c>
      <c r="C32" s="2">
        <f t="shared" si="1"/>
        <v>0.61216666354657423</v>
      </c>
      <c r="D32" s="2">
        <f>tandem!C$7*tandem!C$4*LN((M$28-C32)/tandem!C$8+1)</f>
        <v>1.2047038942934385</v>
      </c>
      <c r="E32" s="2">
        <f>tandem!C$14*tandem!C$4*LN((M$29-C32)/tandem!C$15+1)</f>
        <v>1.0477474267176221</v>
      </c>
      <c r="F32" s="2">
        <f t="shared" si="2"/>
        <v>2.2524513210110606</v>
      </c>
      <c r="G32" s="2">
        <f>A32*calc!M$30</f>
        <v>0.71062650668227945</v>
      </c>
      <c r="H32" s="2">
        <f>A32*calc!M$31</f>
        <v>0.62532377254686766</v>
      </c>
      <c r="I32" s="2">
        <f>tandem!C$9-tandem!C$8*(EXP(G32/tandem!C$7/tandem!C$4)-1)</f>
        <v>1.8719112047199495</v>
      </c>
      <c r="J32" s="2">
        <f>tandem!C$16-tandem!C$15*(EXP(H32/tandem!C$14/tandem!C$4)-1)</f>
        <v>1.127988246359614</v>
      </c>
      <c r="L32" t="s">
        <v>22</v>
      </c>
      <c r="M32">
        <v>2.3033625503950814</v>
      </c>
    </row>
    <row r="33" spans="1:10" x14ac:dyDescent="0.2">
      <c r="A33">
        <v>0.6</v>
      </c>
      <c r="B33">
        <f t="shared" si="0"/>
        <v>0.52154600789337047</v>
      </c>
      <c r="C33" s="2">
        <f t="shared" si="1"/>
        <v>0.58847413908719726</v>
      </c>
      <c r="D33" s="2">
        <f>tandem!C$7*tandem!C$4*LN((M$28-C33)/tandem!C$8+1)</f>
        <v>1.2056690008855651</v>
      </c>
      <c r="E33" s="2">
        <f>tandem!C$14*tandem!C$4*LN((M$29-C33)/tandem!C$15+1)</f>
        <v>1.0494920700620578</v>
      </c>
      <c r="F33" s="2">
        <f t="shared" si="2"/>
        <v>2.2551610709476231</v>
      </c>
      <c r="G33" s="2">
        <f>A33*calc!M$30</f>
        <v>0.73513086898166846</v>
      </c>
      <c r="H33" s="2">
        <f>A33*calc!M$31</f>
        <v>0.64688666125538041</v>
      </c>
      <c r="I33" s="2">
        <f>tandem!C$9-tandem!C$8*(EXP(G33/tandem!C$7/tandem!C$4)-1)</f>
        <v>1.8718562991595218</v>
      </c>
      <c r="J33" s="2">
        <f>tandem!C$16-tandem!C$15*(EXP(H33/tandem!C$14/tandem!C$4)-1)</f>
        <v>1.1279809896777346</v>
      </c>
    </row>
    <row r="34" spans="1:10" x14ac:dyDescent="0.2">
      <c r="A34">
        <v>0.62</v>
      </c>
      <c r="B34">
        <f t="shared" si="0"/>
        <v>0.5001238867685468</v>
      </c>
      <c r="C34" s="2">
        <f t="shared" si="1"/>
        <v>0.56430299388512406</v>
      </c>
      <c r="D34" s="2">
        <f>tandem!C$7*tandem!C$4*LN((M$28-C34)/tandem!C$8+1)</f>
        <v>1.2066354169720501</v>
      </c>
      <c r="E34" s="2">
        <f>tandem!C$14*tandem!C$4*LN((M$29-C34)/tandem!C$15+1)</f>
        <v>1.0511947226829219</v>
      </c>
      <c r="F34" s="2">
        <f t="shared" si="2"/>
        <v>2.2578301396549723</v>
      </c>
      <c r="G34" s="2">
        <f>A34*calc!M$30</f>
        <v>0.75963523128105737</v>
      </c>
      <c r="H34" s="2">
        <f>A34*calc!M$31</f>
        <v>0.66844954996389305</v>
      </c>
      <c r="I34" s="2">
        <f>tandem!C$9-tandem!C$8*(EXP(G34/tandem!C$7/tandem!C$4)-1)</f>
        <v>1.871768181601158</v>
      </c>
      <c r="J34" s="2">
        <f>tandem!C$16-tandem!C$15*(EXP(H34/tandem!C$14/tandem!C$4)-1)</f>
        <v>1.127968348595646</v>
      </c>
    </row>
    <row r="35" spans="1:10" x14ac:dyDescent="0.2">
      <c r="A35">
        <v>0.64</v>
      </c>
      <c r="B35">
        <f t="shared" ref="B35:B53" si="3">1-(EXP(A35)-1)/(EXP(1)-1)</f>
        <v>0.47826901009078626</v>
      </c>
      <c r="C35" s="2">
        <f t="shared" si="1"/>
        <v>0.53964355915998774</v>
      </c>
      <c r="D35" s="2">
        <f>tandem!C$7*tandem!C$4*LN((M$28-C35)/tandem!C$8+1)</f>
        <v>1.2076031200765573</v>
      </c>
      <c r="E35" s="2">
        <f>tandem!C$14*tandem!C$4*LN((M$29-C35)/tandem!C$15+1)</f>
        <v>1.0528581327890514</v>
      </c>
      <c r="F35" s="2">
        <f t="shared" si="2"/>
        <v>2.2604612528656087</v>
      </c>
      <c r="G35" s="2">
        <f>A35*calc!M$30</f>
        <v>0.78413959358044638</v>
      </c>
      <c r="H35" s="2">
        <f>A35*calc!M$31</f>
        <v>0.6900124386724058</v>
      </c>
      <c r="I35" s="2">
        <f>tandem!C$9-tandem!C$8*(EXP(G35/tandem!C$7/tandem!C$4)-1)</f>
        <v>1.871626762334484</v>
      </c>
      <c r="J35" s="2">
        <f>tandem!C$16-tandem!C$15*(EXP(H35/tandem!C$14/tandem!C$4)-1)</f>
        <v>1.1279463279312389</v>
      </c>
    </row>
    <row r="36" spans="1:10" x14ac:dyDescent="0.2">
      <c r="A36">
        <v>0.66</v>
      </c>
      <c r="B36">
        <f t="shared" si="3"/>
        <v>0.45597263561801538</v>
      </c>
      <c r="C36" s="2">
        <f t="shared" si="1"/>
        <v>0.51448597080910119</v>
      </c>
      <c r="D36" s="2">
        <f>tandem!C$7*tandem!C$4*LN((M$28-C36)/tandem!C$8+1)</f>
        <v>1.2085720880456772</v>
      </c>
      <c r="E36" s="2">
        <f>tandem!C$14*tandem!C$4*LN((M$29-C36)/tandem!C$15+1)</f>
        <v>1.0544847944400539</v>
      </c>
      <c r="F36" s="2">
        <f t="shared" ref="F36:F53" si="4">D36+E36</f>
        <v>2.2630568824857313</v>
      </c>
      <c r="G36" s="2">
        <f>A36*calc!M$30</f>
        <v>0.8086439558798354</v>
      </c>
      <c r="H36" s="2">
        <f>A36*calc!M$31</f>
        <v>0.71157532738091844</v>
      </c>
      <c r="I36" s="2">
        <f>tandem!C$9-tandem!C$8*(EXP(G36/tandem!C$7/tandem!C$4)-1)</f>
        <v>1.8713997995207385</v>
      </c>
      <c r="J36" s="2">
        <f>tandem!C$16-tandem!C$15*(EXP(H36/tandem!C$14/tandem!C$4)-1)</f>
        <v>1.1279079681090716</v>
      </c>
    </row>
    <row r="37" spans="1:10" x14ac:dyDescent="0.2">
      <c r="A37">
        <v>0.68</v>
      </c>
      <c r="B37">
        <f t="shared" si="3"/>
        <v>0.43322584450315627</v>
      </c>
      <c r="C37" s="2">
        <f t="shared" si="1"/>
        <v>0.48882016546168544</v>
      </c>
      <c r="D37" s="2">
        <f>tandem!C$7*tandem!C$4*LN((M$28-C37)/tandem!C$8+1)</f>
        <v>1.2095422990466167</v>
      </c>
      <c r="E37" s="2">
        <f>tandem!C$14*tandem!C$4*LN((M$29-C37)/tandem!C$15+1)</f>
        <v>1.0560769779218293</v>
      </c>
      <c r="F37" s="2">
        <f t="shared" si="4"/>
        <v>2.265619276968446</v>
      </c>
      <c r="G37" s="2">
        <f>A37*calc!M$30</f>
        <v>0.8331483181792243</v>
      </c>
      <c r="H37" s="2">
        <f>A37*calc!M$31</f>
        <v>0.73313821608943119</v>
      </c>
      <c r="I37" s="2">
        <f>tandem!C$9-tandem!C$8*(EXP(G37/tandem!C$7/tandem!C$4)-1)</f>
        <v>1.8710355484534358</v>
      </c>
      <c r="J37" s="2">
        <f>tandem!C$16-tandem!C$15*(EXP(H37/tandem!C$14/tandem!C$4)-1)</f>
        <v>1.1278411456041049</v>
      </c>
    </row>
    <row r="38" spans="1:10" x14ac:dyDescent="0.2">
      <c r="A38">
        <v>0.70000000000000007</v>
      </c>
      <c r="B38">
        <f t="shared" si="3"/>
        <v>0.41001953772646837</v>
      </c>
      <c r="C38" s="2">
        <f t="shared" si="1"/>
        <v>0.46263587645338611</v>
      </c>
      <c r="D38" s="2">
        <f>tandem!C$7*tandem!C$4*LN((M$28-C38)/tandem!C$8+1)</f>
        <v>1.2105137315648073</v>
      </c>
      <c r="E38" s="2">
        <f>tandem!C$14*tandem!C$4*LN((M$29-C38)/tandem!C$15+1)</f>
        <v>1.0576367557146924</v>
      </c>
      <c r="F38" s="2">
        <f t="shared" si="4"/>
        <v>2.2681504872794997</v>
      </c>
      <c r="G38" s="2">
        <f>A38*calc!M$30</f>
        <v>0.85765268047861332</v>
      </c>
      <c r="H38" s="2">
        <f>A38*calc!M$31</f>
        <v>0.75470110479794383</v>
      </c>
      <c r="I38" s="2">
        <f>tandem!C$9-tandem!C$8*(EXP(G38/tandem!C$7/tandem!C$4)-1)</f>
        <v>1.8704509644070813</v>
      </c>
      <c r="J38" s="2">
        <f>tandem!C$16-tandem!C$15*(EXP(H38/tandem!C$14/tandem!C$4)-1)</f>
        <v>1.127724741332194</v>
      </c>
    </row>
    <row r="39" spans="1:10" x14ac:dyDescent="0.2">
      <c r="A39">
        <v>0.72</v>
      </c>
      <c r="B39">
        <f t="shared" si="3"/>
        <v>0.3863444324558194</v>
      </c>
      <c r="C39" s="2">
        <f t="shared" si="1"/>
        <v>0.43592262971947121</v>
      </c>
      <c r="D39" s="2">
        <f>tandem!C$7*tandem!C$4*LN((M$28-C39)/tandem!C$8+1)</f>
        <v>1.2114863644014426</v>
      </c>
      <c r="E39" s="2">
        <f>tandem!C$14*tandem!C$4*LN((M$29-C39)/tandem!C$15+1)</f>
        <v>1.0591660247999191</v>
      </c>
      <c r="F39" s="2">
        <f t="shared" si="4"/>
        <v>2.2706523892013619</v>
      </c>
      <c r="G39" s="2">
        <f>A39*calc!M$30</f>
        <v>0.88215704277800211</v>
      </c>
      <c r="H39" s="2">
        <f>A39*calc!M$31</f>
        <v>0.77626399350645647</v>
      </c>
      <c r="I39" s="2">
        <f>tandem!C$9-tandem!C$8*(EXP(G39/tandem!C$7/tandem!C$4)-1)</f>
        <v>1.8695127694697744</v>
      </c>
      <c r="J39" s="2">
        <f>tandem!C$16-tandem!C$15*(EXP(H39/tandem!C$14/tandem!C$4)-1)</f>
        <v>1.1275219660168139</v>
      </c>
    </row>
    <row r="40" spans="1:10" x14ac:dyDescent="0.2">
      <c r="A40">
        <v>0.74</v>
      </c>
      <c r="B40">
        <f t="shared" si="3"/>
        <v>0.36219105833342879</v>
      </c>
      <c r="C40" s="2">
        <f t="shared" si="1"/>
        <v>0.40866973960506586</v>
      </c>
      <c r="D40" s="2">
        <f>tandem!C$7*tandem!C$4*LN((M$28-C40)/tandem!C$8+1)</f>
        <v>1.212460176670946</v>
      </c>
      <c r="E40" s="2">
        <f>tandem!C$14*tandem!C$4*LN((M$29-C40)/tandem!C$15+1)</f>
        <v>1.0606665259073185</v>
      </c>
      <c r="F40" s="2">
        <f t="shared" si="4"/>
        <v>2.2731267025782644</v>
      </c>
      <c r="G40" s="2">
        <f>A40*calc!M$30</f>
        <v>0.90666140507739112</v>
      </c>
      <c r="H40" s="2">
        <f>A40*calc!M$31</f>
        <v>0.79782688221496911</v>
      </c>
      <c r="I40" s="2">
        <f>tandem!C$9-tandem!C$8*(EXP(G40/tandem!C$7/tandem!C$4)-1)</f>
        <v>1.8680070668323565</v>
      </c>
      <c r="J40" s="2">
        <f>tandem!C$16-tandem!C$15*(EXP(H40/tandem!C$14/tandem!C$4)-1)</f>
        <v>1.1271687330310092</v>
      </c>
    </row>
    <row r="41" spans="1:10" x14ac:dyDescent="0.2">
      <c r="A41">
        <v>0.76</v>
      </c>
      <c r="B41">
        <f t="shared" si="3"/>
        <v>0.33754975368759832</v>
      </c>
      <c r="C41" s="2">
        <f t="shared" si="1"/>
        <v>0.38086630459074761</v>
      </c>
      <c r="D41" s="2">
        <f>tandem!C$7*tandem!C$4*LN((M$28-C41)/tandem!C$8+1)</f>
        <v>1.2134351477983729</v>
      </c>
      <c r="E41" s="2">
        <f>tandem!C$14*tandem!C$4*LN((M$29-C41)/tandem!C$15+1)</f>
        <v>1.0621398601938181</v>
      </c>
      <c r="F41" s="2">
        <f t="shared" si="4"/>
        <v>2.2755750079921908</v>
      </c>
      <c r="G41" s="2">
        <f>A41*calc!M$30</f>
        <v>0.93116576737678003</v>
      </c>
      <c r="H41" s="2">
        <f>A41*calc!M$31</f>
        <v>0.81938977092348186</v>
      </c>
      <c r="I41" s="2">
        <f>tandem!C$9-tandem!C$8*(EXP(G41/tandem!C$7/tandem!C$4)-1)</f>
        <v>1.8655905749689119</v>
      </c>
      <c r="J41" s="2">
        <f>tandem!C$16-tandem!C$15*(EXP(H41/tandem!C$14/tandem!C$4)-1)</f>
        <v>1.126553403980594</v>
      </c>
    </row>
    <row r="42" spans="1:10" x14ac:dyDescent="0.2">
      <c r="A42">
        <v>0.78</v>
      </c>
      <c r="B42">
        <f t="shared" si="3"/>
        <v>0.31241066166791442</v>
      </c>
      <c r="C42" s="2">
        <f t="shared" si="1"/>
        <v>0.35250120293179316</v>
      </c>
      <c r="D42" s="2">
        <f>tandem!C$7*tandem!C$4*LN((M$28-C42)/tandem!C$8+1)</f>
        <v>1.2144112575167558</v>
      </c>
      <c r="E42" s="2">
        <f>tandem!C$14*tandem!C$4*LN((M$29-C42)/tandem!C$15+1)</f>
        <v>1.0635875037538558</v>
      </c>
      <c r="F42" s="2">
        <f t="shared" si="4"/>
        <v>2.2779987612706116</v>
      </c>
      <c r="G42" s="2">
        <f>A42*calc!M$30</f>
        <v>0.95567012967616904</v>
      </c>
      <c r="H42" s="2">
        <f>A42*calc!M$31</f>
        <v>0.8409526596319945</v>
      </c>
      <c r="I42" s="2">
        <f>tandem!C$9-tandem!C$8*(EXP(G42/tandem!C$7/tandem!C$4)-1)</f>
        <v>1.8617123637066217</v>
      </c>
      <c r="J42" s="2">
        <f>tandem!C$16-tandem!C$15*(EXP(H42/tandem!C$14/tandem!C$4)-1)</f>
        <v>1.1254815056712604</v>
      </c>
    </row>
    <row r="43" spans="1:10" x14ac:dyDescent="0.2">
      <c r="A43">
        <v>0.8</v>
      </c>
      <c r="B43">
        <f t="shared" si="3"/>
        <v>0.28676372630237679</v>
      </c>
      <c r="C43" s="2">
        <f t="shared" si="1"/>
        <v>0.32356308820933249</v>
      </c>
      <c r="D43" s="2">
        <f>tandem!C$7*tandem!C$4*LN((M$28-C43)/tandem!C$8+1)</f>
        <v>1.2153884858643904</v>
      </c>
      <c r="E43" s="2">
        <f>tandem!C$14*tandem!C$4*LN((M$29-C43)/tandem!C$15+1)</f>
        <v>1.0650108202912667</v>
      </c>
      <c r="F43" s="2">
        <f t="shared" si="4"/>
        <v>2.2803993061556573</v>
      </c>
      <c r="G43" s="2">
        <f>A43*calc!M$30</f>
        <v>0.98017449197555795</v>
      </c>
      <c r="H43" s="2">
        <f>A43*calc!M$31</f>
        <v>0.86251554834050725</v>
      </c>
      <c r="I43" s="2">
        <f>tandem!C$9-tandem!C$8*(EXP(G43/tandem!C$7/tandem!C$4)-1)</f>
        <v>1.8554882489796161</v>
      </c>
      <c r="J43" s="2">
        <f>tandem!C$16-tandem!C$15*(EXP(H43/tandem!C$14/tandem!C$4)-1)</f>
        <v>1.1236142673460474</v>
      </c>
    </row>
    <row r="44" spans="1:10" x14ac:dyDescent="0.2">
      <c r="A44">
        <v>0.82000000000000006</v>
      </c>
      <c r="B44">
        <f t="shared" si="3"/>
        <v>0.26059868847487599</v>
      </c>
      <c r="C44" s="2">
        <f t="shared" si="1"/>
        <v>0.29404038479163042</v>
      </c>
      <c r="D44" s="2">
        <f>tandem!C$7*tandem!C$4*LN((M$28-C44)/tandem!C$8+1)</f>
        <v>1.2163668131820704</v>
      </c>
      <c r="E44" s="2">
        <f>tandem!C$14*tandem!C$4*LN((M$29-C44)/tandem!C$15+1)</f>
        <v>1.0664110722253135</v>
      </c>
      <c r="F44" s="2">
        <f t="shared" si="4"/>
        <v>2.2827778854073841</v>
      </c>
      <c r="G44" s="2">
        <f>A44*calc!M$30</f>
        <v>1.004678854274947</v>
      </c>
      <c r="H44" s="2">
        <f>A44*calc!M$31</f>
        <v>0.88407843704901989</v>
      </c>
      <c r="I44" s="2">
        <f>tandem!C$9-tandem!C$8*(EXP(G44/tandem!C$7/tandem!C$4)-1)</f>
        <v>1.8454992098286001</v>
      </c>
      <c r="J44" s="2">
        <f>tandem!C$16-tandem!C$15*(EXP(H44/tandem!C$14/tandem!C$4)-1)</f>
        <v>1.1203615530421018</v>
      </c>
    </row>
    <row r="45" spans="1:10" x14ac:dyDescent="0.2">
      <c r="A45">
        <v>0.84</v>
      </c>
      <c r="B45">
        <f t="shared" si="3"/>
        <v>0.23390508182140923</v>
      </c>
      <c r="C45" s="2">
        <f t="shared" si="1"/>
        <v>0.26392128320367858</v>
      </c>
      <c r="D45" s="2">
        <f>tandem!C$7*tandem!C$4*LN((M$28-C45)/tandem!C$8+1)</f>
        <v>1.2173462201102743</v>
      </c>
      <c r="E45" s="2">
        <f>tandem!C$14*tandem!C$4*LN((M$29-C45)/tandem!C$15+1)</f>
        <v>1.0677894304574664</v>
      </c>
      <c r="F45" s="2">
        <f t="shared" si="4"/>
        <v>2.2851356505677405</v>
      </c>
      <c r="G45" s="2">
        <f>A45*calc!M$30</f>
        <v>1.0291832165743358</v>
      </c>
      <c r="H45" s="2">
        <f>A45*calc!M$31</f>
        <v>0.90564132575753253</v>
      </c>
      <c r="I45" s="2">
        <f>tandem!C$9-tandem!C$8*(EXP(G45/tandem!C$7/tandem!C$4)-1)</f>
        <v>1.8294678692224262</v>
      </c>
      <c r="J45" s="2">
        <f>tandem!C$16-tandem!C$15*(EXP(H45/tandem!C$14/tandem!C$4)-1)</f>
        <v>1.1146953506081494</v>
      </c>
    </row>
    <row r="46" spans="1:10" x14ac:dyDescent="0.2">
      <c r="A46">
        <v>0.86</v>
      </c>
      <c r="B46">
        <f t="shared" si="3"/>
        <v>0.20667222854339495</v>
      </c>
      <c r="C46" s="2">
        <f t="shared" si="1"/>
        <v>0.23319373540324778</v>
      </c>
      <c r="D46" s="2">
        <f>tandem!C$7*tandem!C$4*LN((M$28-C46)/tandem!C$8+1)</f>
        <v>1.2183266875863075</v>
      </c>
      <c r="E46" s="2">
        <f>tandem!C$14*tandem!C$4*LN((M$29-C46)/tandem!C$15+1)</f>
        <v>1.0691469829881832</v>
      </c>
      <c r="F46" s="2">
        <f t="shared" si="4"/>
        <v>2.2874736705744905</v>
      </c>
      <c r="G46" s="2">
        <f>A46*calc!M$30</f>
        <v>1.0536875788737248</v>
      </c>
      <c r="H46" s="2">
        <f>A46*calc!M$31</f>
        <v>0.92720421446604517</v>
      </c>
      <c r="I46" s="2">
        <f>tandem!C$9-tandem!C$8*(EXP(G46/tandem!C$7/tandem!C$4)-1)</f>
        <v>1.8037392803415806</v>
      </c>
      <c r="J46" s="2">
        <f>tandem!C$16-tandem!C$15*(EXP(H46/tandem!C$14/tandem!C$4)-1)</f>
        <v>1.1048248710570909</v>
      </c>
    </row>
    <row r="47" spans="1:10" x14ac:dyDescent="0.2">
      <c r="A47">
        <v>0.88</v>
      </c>
      <c r="B47">
        <f t="shared" si="3"/>
        <v>0.17888923513641275</v>
      </c>
      <c r="C47" s="2">
        <f t="shared" si="1"/>
        <v>0.20184544996151207</v>
      </c>
      <c r="D47" s="2">
        <f>tandem!C$7*tandem!C$4*LN((M$28-C47)/tandem!C$8+1)</f>
        <v>1.2193081968414035</v>
      </c>
      <c r="E47" s="2">
        <f>tandem!C$14*tandem!C$4*LN((M$29-C47)/tandem!C$15+1)</f>
        <v>1.0704847425424537</v>
      </c>
      <c r="F47" s="2">
        <f t="shared" si="4"/>
        <v>2.2897929393838572</v>
      </c>
      <c r="G47" s="2">
        <f>A47*calc!M$30</f>
        <v>1.0781919411731138</v>
      </c>
      <c r="H47" s="2">
        <f>A47*calc!M$31</f>
        <v>0.94876710317455792</v>
      </c>
      <c r="I47" s="2">
        <f>tandem!C$9-tandem!C$8*(EXP(G47/tandem!C$7/tandem!C$4)-1)</f>
        <v>1.7624476440360903</v>
      </c>
      <c r="J47" s="2">
        <f>tandem!C$16-tandem!C$15*(EXP(H47/tandem!C$14/tandem!C$4)-1)</f>
        <v>1.0876305742236287</v>
      </c>
    </row>
    <row r="48" spans="1:10" x14ac:dyDescent="0.2">
      <c r="A48">
        <v>0.9</v>
      </c>
      <c r="B48">
        <f t="shared" si="3"/>
        <v>0.15054498803265481</v>
      </c>
      <c r="C48" s="2">
        <f t="shared" si="1"/>
        <v>0.16986388714631184</v>
      </c>
      <c r="D48" s="2">
        <f>tandem!C$7*tandem!C$4*LN((M$28-C48)/tandem!C$8+1)</f>
        <v>1.2202907293977865</v>
      </c>
      <c r="E48" s="2">
        <f>tandem!C$14*tandem!C$4*LN((M$29-C48)/tandem!C$15+1)</f>
        <v>1.0718036533378776</v>
      </c>
      <c r="F48" s="2">
        <f t="shared" si="4"/>
        <v>2.2920943827356641</v>
      </c>
      <c r="G48" s="2">
        <f>A48*calc!M$30</f>
        <v>1.1026963034725028</v>
      </c>
      <c r="H48" s="2">
        <f>A48*calc!M$31</f>
        <v>0.97032999188307056</v>
      </c>
      <c r="I48" s="2">
        <f>tandem!C$9-tandem!C$8*(EXP(G48/tandem!C$7/tandem!C$4)-1)</f>
        <v>1.6961789793735598</v>
      </c>
      <c r="J48" s="2">
        <f>tandem!C$16-tandem!C$15*(EXP(H48/tandem!C$14/tandem!C$4)-1)</f>
        <v>1.0576782459636</v>
      </c>
    </row>
    <row r="49" spans="1:10" x14ac:dyDescent="0.2">
      <c r="A49">
        <v>0.92</v>
      </c>
      <c r="B49">
        <f t="shared" si="3"/>
        <v>0.12162814915535169</v>
      </c>
      <c r="C49" s="2">
        <f t="shared" si="1"/>
        <v>0.13723625390609498</v>
      </c>
      <c r="D49" s="2">
        <f>tandem!C$7*tandem!C$4*LN((M$28-C49)/tandem!C$8+1)</f>
        <v>1.2212742670657017</v>
      </c>
      <c r="E49" s="2">
        <f>tandem!C$14*tandem!C$4*LN((M$29-C49)/tandem!C$15+1)</f>
        <v>1.0731045971084461</v>
      </c>
      <c r="F49" s="2">
        <f t="shared" si="4"/>
        <v>2.2943788641741478</v>
      </c>
      <c r="G49" s="2">
        <f>A49*calc!M$30</f>
        <v>1.1272006657718916</v>
      </c>
      <c r="H49" s="2">
        <f>A49*calc!M$31</f>
        <v>0.99189288059158331</v>
      </c>
      <c r="I49" s="2">
        <f>tandem!C$9-tandem!C$8*(EXP(G49/tandem!C$7/tandem!C$4)-1)</f>
        <v>1.5898248527493506</v>
      </c>
      <c r="J49" s="2">
        <f>tandem!C$16-tandem!C$15*(EXP(H49/tandem!C$14/tandem!C$4)-1)</f>
        <v>1.0055015284807092</v>
      </c>
    </row>
    <row r="50" spans="1:10" x14ac:dyDescent="0.2">
      <c r="A50">
        <v>0.94000000000000006</v>
      </c>
      <c r="B50">
        <f t="shared" si="3"/>
        <v>9.2127151383389227E-2</v>
      </c>
      <c r="C50" s="2">
        <f t="shared" si="1"/>
        <v>0.10394949875252416</v>
      </c>
      <c r="D50" s="2">
        <f>tandem!C$7*tandem!C$4*LN((M$28-C50)/tandem!C$8+1)</f>
        <v>1.2222587919404129</v>
      </c>
      <c r="E50" s="2">
        <f>tandem!C$14*tandem!C$4*LN((M$29-C50)/tandem!C$15+1)</f>
        <v>1.0743883984801421</v>
      </c>
      <c r="F50" s="2">
        <f t="shared" si="4"/>
        <v>2.296647190420555</v>
      </c>
      <c r="G50" s="2">
        <f>A50*calc!M$30</f>
        <v>1.1517050280712806</v>
      </c>
      <c r="H50" s="2">
        <f>A50*calc!M$31</f>
        <v>1.0134557693000961</v>
      </c>
      <c r="I50" s="2">
        <f>tandem!C$9-tandem!C$8*(EXP(G50/tandem!C$7/tandem!C$4)-1)</f>
        <v>1.4191378424164844</v>
      </c>
      <c r="J50" s="2">
        <f>tandem!C$16-tandem!C$15*(EXP(H50/tandem!C$14/tandem!C$4)-1)</f>
        <v>0.91461010182248803</v>
      </c>
    </row>
    <row r="51" spans="1:10" x14ac:dyDescent="0.2">
      <c r="A51">
        <v>0.96</v>
      </c>
      <c r="B51">
        <f t="shared" si="3"/>
        <v>6.2030193924306976E-2</v>
      </c>
      <c r="C51" s="2">
        <f t="shared" si="1"/>
        <v>6.9990306539708905E-2</v>
      </c>
      <c r="D51" s="2">
        <f>tandem!C$7*tandem!C$4*LN((M$28-C51)/tandem!C$8+1)</f>
        <v>1.2232442863991726</v>
      </c>
      <c r="E51" s="2">
        <f>tandem!C$14*tandem!C$4*LN((M$29-C51)/tandem!C$15+1)</f>
        <v>1.075655829780306</v>
      </c>
      <c r="F51" s="2">
        <f t="shared" si="4"/>
        <v>2.2989001161794786</v>
      </c>
      <c r="G51" s="2">
        <f>A51*calc!M$30</f>
        <v>1.1762093903706694</v>
      </c>
      <c r="H51" s="2">
        <f>A51*calc!M$31</f>
        <v>1.0350186580086085</v>
      </c>
      <c r="I51" s="2">
        <f>tandem!C$9-tandem!C$8*(EXP(G51/tandem!C$7/tandem!C$4)-1)</f>
        <v>1.1452034270711065</v>
      </c>
      <c r="J51" s="2">
        <f>tandem!C$16-tandem!C$15*(EXP(H51/tandem!C$14/tandem!C$4)-1)</f>
        <v>0.75627795985369395</v>
      </c>
    </row>
    <row r="52" spans="1:10" x14ac:dyDescent="0.2">
      <c r="A52">
        <v>0.98</v>
      </c>
      <c r="B52">
        <f t="shared" si="3"/>
        <v>3.1325237593822997E-2</v>
      </c>
      <c r="C52" s="2">
        <f t="shared" si="1"/>
        <v>3.5345093137968617E-2</v>
      </c>
      <c r="D52" s="2">
        <f>tandem!C$7*tandem!C$4*LN((M$28-C52)/tandem!C$8+1)</f>
        <v>1.2242307330981688</v>
      </c>
      <c r="E52" s="2">
        <f>tandem!C$14*tandem!C$4*LN((M$29-C52)/tandem!C$15+1)</f>
        <v>1.0769076153508683</v>
      </c>
      <c r="F52" s="2">
        <f t="shared" si="4"/>
        <v>2.3011383484490371</v>
      </c>
      <c r="G52" s="2">
        <f>A52*calc!M$30</f>
        <v>1.2007137526700584</v>
      </c>
      <c r="H52" s="2">
        <f>A52*calc!M$31</f>
        <v>1.0565815467171213</v>
      </c>
      <c r="I52" s="2">
        <f>tandem!C$9-tandem!C$8*(EXP(G52/tandem!C$7/tandem!C$4)-1)</f>
        <v>0.70556795765679103</v>
      </c>
      <c r="J52" s="2">
        <f>tandem!C$16-tandem!C$15*(EXP(H52/tandem!C$14/tandem!C$4)-1)</f>
        <v>0.48046462847432903</v>
      </c>
    </row>
    <row r="53" spans="1:10" x14ac:dyDescent="0.2">
      <c r="A53">
        <v>1</v>
      </c>
      <c r="B53">
        <f t="shared" si="3"/>
        <v>0</v>
      </c>
      <c r="C53" s="2">
        <f t="shared" si="1"/>
        <v>0</v>
      </c>
      <c r="D53" s="2">
        <f>tandem!C$7*tandem!C$4*LN((M$28-C53)/tandem!C$8+1)</f>
        <v>1.2252181149694474</v>
      </c>
      <c r="E53" s="2">
        <f>tandem!C$14*tandem!C$4*LN((M$29-C53)/tandem!C$15+1)</f>
        <v>1.078144435425634</v>
      </c>
      <c r="F53" s="2">
        <f t="shared" si="4"/>
        <v>2.3033625503950814</v>
      </c>
      <c r="G53" s="2">
        <f>A53*calc!M$30</f>
        <v>1.2252181149694474</v>
      </c>
      <c r="H53" s="2">
        <f>A53*calc!M$31</f>
        <v>1.078144435425634</v>
      </c>
      <c r="I53" s="2">
        <f>tandem!C$9-tandem!C$8*(EXP(G53/tandem!C$7/tandem!C$4)-1)</f>
        <v>-2.4424906541753444E-15</v>
      </c>
      <c r="J53" s="2">
        <f>tandem!C$16-tandem!C$15*(EXP(H53/tandem!C$14/tandem!C$4)-1)</f>
        <v>-1.7763568394002505E-15</v>
      </c>
    </row>
    <row r="54" spans="1:10" x14ac:dyDescent="0.2">
      <c r="C54" s="5"/>
      <c r="D54" s="5"/>
      <c r="E54" s="5"/>
      <c r="F54" s="5"/>
      <c r="G54" s="5"/>
      <c r="H54" s="5"/>
    </row>
    <row r="55" spans="1:10" x14ac:dyDescent="0.2">
      <c r="C55" s="5"/>
      <c r="D55" s="5"/>
      <c r="E55" s="5"/>
      <c r="F55" s="5"/>
      <c r="G55" s="5"/>
      <c r="H55" s="5"/>
    </row>
    <row r="56" spans="1:10" x14ac:dyDescent="0.2">
      <c r="C56" s="5"/>
      <c r="D56" s="5"/>
      <c r="E56" s="5"/>
      <c r="F56" s="5"/>
      <c r="G56" s="5"/>
      <c r="H56" s="5"/>
    </row>
    <row r="57" spans="1:10" x14ac:dyDescent="0.2">
      <c r="C57" s="5"/>
      <c r="D57" s="5"/>
      <c r="E57" s="5"/>
      <c r="F57" s="5"/>
      <c r="G57" s="5"/>
      <c r="H57" s="5"/>
    </row>
    <row r="58" spans="1:10" x14ac:dyDescent="0.2">
      <c r="C58" s="5"/>
      <c r="D58" s="5"/>
      <c r="E58" s="5"/>
      <c r="F58" s="5"/>
      <c r="G58" s="5"/>
      <c r="H58" s="5"/>
    </row>
    <row r="59" spans="1:10" x14ac:dyDescent="0.2">
      <c r="C59" s="5"/>
      <c r="D59" s="5"/>
      <c r="E59" s="5"/>
      <c r="F59" s="5"/>
      <c r="G59" s="5"/>
      <c r="H59" s="5"/>
    </row>
    <row r="60" spans="1:10" x14ac:dyDescent="0.2">
      <c r="C60" s="5"/>
      <c r="D60" s="5"/>
      <c r="E60" s="5"/>
      <c r="F60" s="5"/>
      <c r="G60" s="5"/>
      <c r="H60" s="5"/>
    </row>
    <row r="61" spans="1:10" x14ac:dyDescent="0.2">
      <c r="C61" s="5"/>
      <c r="D61" s="5"/>
      <c r="E61" s="5"/>
      <c r="F61" s="5"/>
      <c r="G61" s="5"/>
      <c r="H61" s="5"/>
    </row>
    <row r="62" spans="1:10" x14ac:dyDescent="0.2">
      <c r="C62" s="5"/>
      <c r="D62" s="5"/>
      <c r="E62" s="5"/>
      <c r="F62" s="5"/>
      <c r="G62" s="5"/>
      <c r="H62" s="5"/>
    </row>
    <row r="63" spans="1:10" x14ac:dyDescent="0.2">
      <c r="C63" s="5"/>
      <c r="D63" s="5"/>
      <c r="E63" s="5"/>
      <c r="F63" s="5"/>
      <c r="G63" s="5"/>
      <c r="H63" s="5"/>
    </row>
    <row r="64" spans="1:10" x14ac:dyDescent="0.2">
      <c r="C64" s="5"/>
      <c r="D64" s="5"/>
      <c r="E64" s="5"/>
      <c r="F64" s="5"/>
      <c r="G64" s="5"/>
      <c r="H64" s="5"/>
    </row>
    <row r="65" spans="3:8" x14ac:dyDescent="0.2">
      <c r="C65" s="5"/>
      <c r="D65" s="5"/>
      <c r="E65" s="5"/>
      <c r="F65" s="5"/>
      <c r="G65" s="5"/>
      <c r="H65" s="5"/>
    </row>
    <row r="66" spans="3:8" x14ac:dyDescent="0.2">
      <c r="C66" s="5"/>
      <c r="D66" s="5"/>
      <c r="E66" s="5"/>
      <c r="F66" s="5"/>
      <c r="G66" s="5"/>
      <c r="H66" s="5"/>
    </row>
    <row r="67" spans="3:8" x14ac:dyDescent="0.2">
      <c r="C67" s="5"/>
      <c r="D67" s="5"/>
      <c r="E67" s="5"/>
      <c r="F67" s="5"/>
      <c r="G67" s="5"/>
      <c r="H67" s="5"/>
    </row>
    <row r="68" spans="3:8" x14ac:dyDescent="0.2">
      <c r="C68" s="5"/>
      <c r="D68" s="5"/>
      <c r="E68" s="5"/>
      <c r="F68" s="5"/>
      <c r="G68" s="5"/>
      <c r="H68" s="5"/>
    </row>
    <row r="69" spans="3:8" x14ac:dyDescent="0.2">
      <c r="C69" s="5"/>
      <c r="D69" s="5"/>
      <c r="E69" s="5"/>
      <c r="F69" s="5"/>
      <c r="G69" s="5"/>
      <c r="H69" s="5"/>
    </row>
    <row r="70" spans="3:8" x14ac:dyDescent="0.2">
      <c r="C70" s="5"/>
      <c r="D70" s="5"/>
      <c r="E70" s="5"/>
      <c r="F70" s="5"/>
      <c r="G70" s="5"/>
      <c r="H70" s="5"/>
    </row>
    <row r="71" spans="3:8" x14ac:dyDescent="0.2">
      <c r="C71" s="5"/>
      <c r="D71" s="5"/>
      <c r="E71" s="5"/>
      <c r="F71" s="5"/>
      <c r="G71" s="5"/>
      <c r="H71" s="5"/>
    </row>
    <row r="72" spans="3:8" x14ac:dyDescent="0.2">
      <c r="C72" s="5"/>
      <c r="D72" s="5"/>
      <c r="E72" s="5"/>
      <c r="F72" s="5"/>
      <c r="G72" s="5"/>
      <c r="H72" s="5"/>
    </row>
    <row r="73" spans="3:8" x14ac:dyDescent="0.2">
      <c r="C73" s="5"/>
      <c r="D73" s="5"/>
      <c r="E73" s="5"/>
      <c r="F73" s="5"/>
      <c r="G73" s="5"/>
      <c r="H73" s="5"/>
    </row>
    <row r="74" spans="3:8" x14ac:dyDescent="0.2">
      <c r="C74" s="5"/>
      <c r="D74" s="5"/>
      <c r="E74" s="5"/>
      <c r="F74" s="5"/>
      <c r="G74" s="5"/>
      <c r="H74" s="5"/>
    </row>
    <row r="75" spans="3:8" x14ac:dyDescent="0.2">
      <c r="C75" s="5"/>
      <c r="D75" s="5"/>
      <c r="E75" s="5"/>
      <c r="F75" s="5"/>
      <c r="G75" s="5"/>
      <c r="H75" s="5"/>
    </row>
    <row r="76" spans="3:8" x14ac:dyDescent="0.2">
      <c r="C76" s="5"/>
      <c r="D76" s="5"/>
      <c r="E76" s="5"/>
      <c r="F76" s="5"/>
      <c r="G76" s="5"/>
      <c r="H76" s="5"/>
    </row>
    <row r="77" spans="3:8" x14ac:dyDescent="0.2">
      <c r="C77" s="5"/>
      <c r="D77" s="5"/>
      <c r="E77" s="5"/>
      <c r="F77" s="5"/>
      <c r="G77" s="5"/>
      <c r="H77" s="5"/>
    </row>
    <row r="78" spans="3:8" x14ac:dyDescent="0.2">
      <c r="C78" s="5"/>
      <c r="D78" s="5"/>
      <c r="E78" s="5"/>
      <c r="F78" s="5"/>
      <c r="G78" s="5"/>
      <c r="H78" s="5"/>
    </row>
    <row r="79" spans="3:8" x14ac:dyDescent="0.2">
      <c r="C79" s="5"/>
      <c r="D79" s="5"/>
      <c r="E79" s="5"/>
      <c r="F79" s="5"/>
      <c r="G79" s="5"/>
      <c r="H79" s="5"/>
    </row>
    <row r="80" spans="3:8" x14ac:dyDescent="0.2">
      <c r="C80" s="5"/>
      <c r="D80" s="5"/>
      <c r="E80" s="5"/>
      <c r="F80" s="5"/>
      <c r="G80" s="5"/>
      <c r="H80" s="5"/>
    </row>
    <row r="81" spans="3:8" x14ac:dyDescent="0.2">
      <c r="C81" s="5"/>
      <c r="D81" s="5"/>
      <c r="E81" s="5"/>
      <c r="F81" s="5"/>
      <c r="G81" s="5"/>
      <c r="H81" s="5"/>
    </row>
    <row r="82" spans="3:8" x14ac:dyDescent="0.2">
      <c r="C82" s="5"/>
      <c r="D82" s="5"/>
      <c r="E82" s="5"/>
      <c r="F82" s="5"/>
      <c r="G82" s="5"/>
      <c r="H82" s="5"/>
    </row>
    <row r="83" spans="3:8" x14ac:dyDescent="0.2">
      <c r="C83" s="5"/>
      <c r="D83" s="5"/>
      <c r="E83" s="5"/>
      <c r="F83" s="5"/>
      <c r="G83" s="5"/>
      <c r="H83" s="5"/>
    </row>
    <row r="84" spans="3:8" x14ac:dyDescent="0.2">
      <c r="C84" s="5"/>
      <c r="D84" s="5"/>
      <c r="E84" s="5"/>
      <c r="F84" s="5"/>
      <c r="G84" s="5"/>
      <c r="H84" s="5"/>
    </row>
    <row r="85" spans="3:8" x14ac:dyDescent="0.2">
      <c r="C85" s="5"/>
      <c r="D85" s="5"/>
      <c r="E85" s="5"/>
      <c r="F85" s="5"/>
      <c r="G85" s="5"/>
      <c r="H85" s="5"/>
    </row>
    <row r="86" spans="3:8" x14ac:dyDescent="0.2">
      <c r="C86" s="5"/>
      <c r="D86" s="5"/>
      <c r="E86" s="5"/>
      <c r="F86" s="5"/>
      <c r="G86" s="5"/>
      <c r="H86" s="5"/>
    </row>
    <row r="87" spans="3:8" x14ac:dyDescent="0.2">
      <c r="C87" s="5"/>
      <c r="D87" s="5"/>
      <c r="E87" s="5"/>
      <c r="F87" s="5"/>
      <c r="G87" s="5"/>
      <c r="H87" s="5"/>
    </row>
    <row r="88" spans="3:8" x14ac:dyDescent="0.2">
      <c r="C88" s="5"/>
      <c r="D88" s="5"/>
      <c r="E88" s="5"/>
      <c r="F88" s="5"/>
      <c r="G88" s="5"/>
      <c r="H88" s="5"/>
    </row>
    <row r="89" spans="3:8" x14ac:dyDescent="0.2">
      <c r="C89" s="5"/>
      <c r="D89" s="5"/>
      <c r="E89" s="5"/>
      <c r="F89" s="5"/>
      <c r="G89" s="5"/>
      <c r="H89" s="5"/>
    </row>
    <row r="90" spans="3:8" x14ac:dyDescent="0.2">
      <c r="C90" s="5"/>
      <c r="D90" s="5"/>
      <c r="E90" s="5"/>
      <c r="F90" s="5"/>
      <c r="G90" s="5"/>
      <c r="H90" s="5"/>
    </row>
    <row r="91" spans="3:8" x14ac:dyDescent="0.2">
      <c r="C91" s="5"/>
      <c r="D91" s="5"/>
      <c r="E91" s="5"/>
      <c r="F91" s="5"/>
      <c r="G91" s="5"/>
      <c r="H91" s="5"/>
    </row>
    <row r="92" spans="3:8" x14ac:dyDescent="0.2">
      <c r="C92" s="5"/>
      <c r="D92" s="5"/>
      <c r="E92" s="5"/>
      <c r="F92" s="5"/>
      <c r="G92" s="5"/>
      <c r="H92" s="5"/>
    </row>
    <row r="93" spans="3:8" x14ac:dyDescent="0.2">
      <c r="C93" s="5"/>
      <c r="D93" s="5"/>
      <c r="E93" s="5"/>
      <c r="F93" s="5"/>
      <c r="G93" s="5"/>
      <c r="H93" s="5"/>
    </row>
    <row r="94" spans="3:8" x14ac:dyDescent="0.2">
      <c r="C94" s="5"/>
      <c r="D94" s="5"/>
      <c r="E94" s="5"/>
      <c r="F94" s="5"/>
      <c r="G94" s="5"/>
      <c r="H94" s="5"/>
    </row>
    <row r="95" spans="3:8" x14ac:dyDescent="0.2">
      <c r="C95" s="5"/>
      <c r="D95" s="5"/>
      <c r="E95" s="5"/>
      <c r="F95" s="5"/>
      <c r="G95" s="5"/>
      <c r="H95" s="5"/>
    </row>
    <row r="96" spans="3:8" x14ac:dyDescent="0.2">
      <c r="C96" s="5"/>
      <c r="D96" s="5"/>
      <c r="E96" s="5"/>
      <c r="F96" s="5"/>
      <c r="G96" s="5"/>
      <c r="H96" s="5"/>
    </row>
    <row r="97" spans="3:8" x14ac:dyDescent="0.2">
      <c r="C97" s="5"/>
      <c r="D97" s="5"/>
      <c r="E97" s="5"/>
      <c r="F97" s="5"/>
      <c r="G97" s="5"/>
      <c r="H97" s="5"/>
    </row>
    <row r="98" spans="3:8" x14ac:dyDescent="0.2">
      <c r="C98" s="5"/>
      <c r="D98" s="5"/>
      <c r="E98" s="5"/>
      <c r="F98" s="5"/>
      <c r="G98" s="5"/>
      <c r="H98" s="5"/>
    </row>
    <row r="99" spans="3:8" x14ac:dyDescent="0.2">
      <c r="C99" s="5"/>
      <c r="D99" s="5"/>
      <c r="E99" s="5"/>
      <c r="F99" s="5"/>
      <c r="G99" s="5"/>
      <c r="H99" s="5"/>
    </row>
    <row r="100" spans="3:8" x14ac:dyDescent="0.2">
      <c r="C100" s="5"/>
      <c r="D100" s="5"/>
      <c r="E100" s="5"/>
      <c r="F100" s="5"/>
      <c r="G100" s="5"/>
      <c r="H100" s="5"/>
    </row>
    <row r="101" spans="3:8" x14ac:dyDescent="0.2">
      <c r="C101" s="5"/>
      <c r="D101" s="5"/>
      <c r="E101" s="5"/>
      <c r="F101" s="5"/>
      <c r="G101" s="5"/>
      <c r="H101" s="5"/>
    </row>
    <row r="102" spans="3:8" x14ac:dyDescent="0.2">
      <c r="C102" s="5"/>
      <c r="D102" s="5"/>
      <c r="E102" s="5"/>
      <c r="F102" s="5"/>
      <c r="G102" s="5"/>
      <c r="H102" s="5"/>
    </row>
    <row r="103" spans="3:8" x14ac:dyDescent="0.2">
      <c r="C103" s="5"/>
      <c r="D103" s="5"/>
      <c r="E103" s="5"/>
      <c r="F103" s="5"/>
      <c r="G103" s="5"/>
      <c r="H103" s="5"/>
    </row>
    <row r="104" spans="3:8" x14ac:dyDescent="0.2">
      <c r="C104" s="1"/>
      <c r="D104" s="1"/>
      <c r="E104" s="1"/>
    </row>
    <row r="105" spans="3:8" x14ac:dyDescent="0.2">
      <c r="C105" s="1"/>
      <c r="D105" s="1"/>
      <c r="E105" s="1"/>
    </row>
    <row r="106" spans="3:8" x14ac:dyDescent="0.2">
      <c r="C106" s="1"/>
      <c r="D106" s="1"/>
      <c r="E106" s="1"/>
    </row>
    <row r="107" spans="3:8" x14ac:dyDescent="0.2">
      <c r="C107" s="1"/>
      <c r="D107" s="1"/>
      <c r="E107" s="1"/>
    </row>
    <row r="108" spans="3:8" x14ac:dyDescent="0.2">
      <c r="C108" s="1"/>
      <c r="D108" s="1"/>
      <c r="E108" s="1"/>
    </row>
    <row r="109" spans="3:8" x14ac:dyDescent="0.2">
      <c r="C109" s="1"/>
      <c r="D109" s="1"/>
      <c r="E109" s="1"/>
    </row>
    <row r="110" spans="3:8" x14ac:dyDescent="0.2">
      <c r="C110" s="1"/>
      <c r="D110" s="1"/>
      <c r="E110" s="1"/>
    </row>
    <row r="111" spans="3:8" x14ac:dyDescent="0.2">
      <c r="C111" s="1"/>
      <c r="D111" s="1"/>
      <c r="E1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28</vt:i4>
      </vt:variant>
    </vt:vector>
  </HeadingPairs>
  <TitlesOfParts>
    <vt:vector size="30" baseType="lpstr">
      <vt:lpstr>tandem</vt:lpstr>
      <vt:lpstr>calc</vt:lpstr>
      <vt:lpstr>confirm_each</vt:lpstr>
      <vt:lpstr>dP_dIm</vt:lpstr>
      <vt:lpstr>I0_1_mA</vt:lpstr>
      <vt:lpstr>I0_2_mA</vt:lpstr>
      <vt:lpstr>I1m_mA</vt:lpstr>
      <vt:lpstr>I2m_mA</vt:lpstr>
      <vt:lpstr>Ierror</vt:lpstr>
      <vt:lpstr>Im_mA</vt:lpstr>
      <vt:lpstr>Ip_1_mA</vt:lpstr>
      <vt:lpstr>Ip_2_mA</vt:lpstr>
      <vt:lpstr>Ip_mA</vt:lpstr>
      <vt:lpstr>Isc_mA</vt:lpstr>
      <vt:lpstr>kT_eV</vt:lpstr>
      <vt:lpstr>n_1</vt:lpstr>
      <vt:lpstr>n_2</vt:lpstr>
      <vt:lpstr>P1_mW</vt:lpstr>
      <vt:lpstr>P1m_mW</vt:lpstr>
      <vt:lpstr>P2m_mW</vt:lpstr>
      <vt:lpstr>Pm_mW</vt:lpstr>
      <vt:lpstr>SolveState</vt:lpstr>
      <vt:lpstr>u</vt:lpstr>
      <vt:lpstr>V1_V</vt:lpstr>
      <vt:lpstr>V1m_V</vt:lpstr>
      <vt:lpstr>V1oc_V</vt:lpstr>
      <vt:lpstr>V2_V</vt:lpstr>
      <vt:lpstr>V2m_V</vt:lpstr>
      <vt:lpstr>V2oc_V</vt:lpstr>
      <vt:lpstr>Voc_V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2024-03-14T17:59:30Z</dcterms:created>
  <dcterms:modified xsi:type="dcterms:W3CDTF">2024-03-29T20:19:01Z</dcterms:modified>
</cp:coreProperties>
</file>