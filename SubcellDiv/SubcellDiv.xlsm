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hil-ahrenkiel/Documents/personal/SQ_multijunc/SubcellDiv/"/>
    </mc:Choice>
  </mc:AlternateContent>
  <xr:revisionPtr revIDLastSave="0" documentId="13_ncr:1_{C5FAA1AA-3420-E343-9C34-43029A43BB65}" xr6:coauthVersionLast="47" xr6:coauthVersionMax="47" xr10:uidLastSave="{00000000-0000-0000-0000-000000000000}"/>
  <bookViews>
    <workbookView xWindow="5840" yWindow="2960" windowWidth="24960" windowHeight="16940" xr2:uid="{F39901F2-9B9C-3F40-87C6-17C8C951FC81}"/>
  </bookViews>
  <sheets>
    <sheet name="tandem" sheetId="1" r:id="rId1"/>
    <sheet name="Sheet1" sheetId="5" r:id="rId2"/>
    <sheet name="calc" sheetId="4" r:id="rId3"/>
  </sheets>
  <definedNames>
    <definedName name="A1_coef">tandem!$F$44</definedName>
    <definedName name="A2_coef">tandem!$F$45</definedName>
    <definedName name="B_coef">tandem!$F$46</definedName>
    <definedName name="confirm_each">tandem!$E$23</definedName>
    <definedName name="dP_dIm">tandem!$C$42</definedName>
    <definedName name="f">tandem!$C$5</definedName>
    <definedName name="f_calc">tandem!$C$60</definedName>
    <definedName name="f_in">tandem!$J$9</definedName>
    <definedName name="I0_1_mA">tandem!$C$8</definedName>
    <definedName name="I0_2_mA">tandem!$C$15</definedName>
    <definedName name="I1m_mA">tandem!$F$8</definedName>
    <definedName name="I2m_mA">tandem!$F$15</definedName>
    <definedName name="Ierror">tandem!$F$31</definedName>
    <definedName name="Im_mA">tandem!$C$22</definedName>
    <definedName name="Ip_1_mA">tandem!$C$9</definedName>
    <definedName name="Ip_2_mA">tandem!$C$16</definedName>
    <definedName name="Ip_mA">tandem!$C$3</definedName>
    <definedName name="Isc_mA">tandem!$C$26</definedName>
    <definedName name="kT_eV">tandem!$C$4</definedName>
    <definedName name="n_1">tandem!$C$7</definedName>
    <definedName name="n_2">tandem!$C$14</definedName>
    <definedName name="opt_f">tandem!$O$11</definedName>
    <definedName name="P1_mW">tandem!$C$11</definedName>
    <definedName name="P1m_mW">tandem!$F$9</definedName>
    <definedName name="P2m_mW">tandem!$F$16</definedName>
    <definedName name="Pm_mW">tandem!$C$23</definedName>
    <definedName name="r_1">tandem!$C$45</definedName>
    <definedName name="r_2">tandem!$C$46</definedName>
    <definedName name="solver_adj" localSheetId="0" hidden="1">tandem!$F$15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itr" localSheetId="0" hidden="1">2147483647</definedName>
    <definedName name="solver_lhs1" localSheetId="0" hidden="1">tandem!$C$22</definedName>
    <definedName name="solver_lhs2" localSheetId="0" hidden="1">tandem!$C$22</definedName>
    <definedName name="solver_lin" localSheetId="0" hidden="1">2</definedName>
    <definedName name="solver_mip" localSheetId="0" hidden="1">2147483647</definedName>
    <definedName name="solver_mni" localSheetId="0" hidden="1">2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opt" localSheetId="0" hidden="1">tandem!$F$16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2" localSheetId="0" hidden="1">1</definedName>
    <definedName name="solver_rhs1" localSheetId="0" hidden="1">tandem!#REF!</definedName>
    <definedName name="solver_rhs2" localSheetId="0" hidden="1">tandem!#REF!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4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2</definedName>
    <definedName name="SolveState">tandem!$D$34</definedName>
    <definedName name="u">tandem!$F$30</definedName>
    <definedName name="V1_V">tandem!$C$10</definedName>
    <definedName name="V1m_V">tandem!$F$7</definedName>
    <definedName name="V1oc_V">tandem!$F$10</definedName>
    <definedName name="V2_V">tandem!$C$17</definedName>
    <definedName name="V2m_V">tandem!$F$14</definedName>
    <definedName name="V2oc_V">tandem!$F$17</definedName>
    <definedName name="Voc_V">tandem!$C$25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" l="1"/>
  <c r="C9" i="1" s="1"/>
  <c r="C4" i="4"/>
  <c r="E4" i="4" s="1"/>
  <c r="C5" i="4"/>
  <c r="D5" i="4" s="1"/>
  <c r="C6" i="4"/>
  <c r="E6" i="4" s="1"/>
  <c r="C7" i="4"/>
  <c r="D7" i="4" s="1"/>
  <c r="C8" i="4"/>
  <c r="D8" i="4" s="1"/>
  <c r="C9" i="4"/>
  <c r="D9" i="4" s="1"/>
  <c r="C10" i="4"/>
  <c r="D10" i="4" s="1"/>
  <c r="C11" i="4"/>
  <c r="D11" i="4" s="1"/>
  <c r="C12" i="4"/>
  <c r="D12" i="4" s="1"/>
  <c r="C13" i="4"/>
  <c r="D13" i="4" s="1"/>
  <c r="C14" i="4"/>
  <c r="E14" i="4" s="1"/>
  <c r="C15" i="4"/>
  <c r="D15" i="4" s="1"/>
  <c r="C16" i="4"/>
  <c r="E16" i="4" s="1"/>
  <c r="C17" i="4"/>
  <c r="D17" i="4" s="1"/>
  <c r="C18" i="4"/>
  <c r="E18" i="4" s="1"/>
  <c r="C19" i="4"/>
  <c r="E19" i="4" s="1"/>
  <c r="C20" i="4"/>
  <c r="D20" i="4" s="1"/>
  <c r="C21" i="4"/>
  <c r="D21" i="4" s="1"/>
  <c r="C22" i="4"/>
  <c r="E22" i="4" s="1"/>
  <c r="C23" i="4"/>
  <c r="D23" i="4" s="1"/>
  <c r="C24" i="4"/>
  <c r="E24" i="4" s="1"/>
  <c r="C25" i="4"/>
  <c r="D25" i="4" s="1"/>
  <c r="C26" i="4"/>
  <c r="D26" i="4" s="1"/>
  <c r="C27" i="4"/>
  <c r="D27" i="4" s="1"/>
  <c r="C28" i="4"/>
  <c r="E28" i="4" s="1"/>
  <c r="C29" i="4"/>
  <c r="D29" i="4" s="1"/>
  <c r="C30" i="4"/>
  <c r="D30" i="4" s="1"/>
  <c r="C31" i="4"/>
  <c r="D31" i="4" s="1"/>
  <c r="C32" i="4"/>
  <c r="E32" i="4" s="1"/>
  <c r="C33" i="4"/>
  <c r="D33" i="4" s="1"/>
  <c r="C34" i="4"/>
  <c r="E34" i="4" s="1"/>
  <c r="C35" i="4"/>
  <c r="E35" i="4" s="1"/>
  <c r="C36" i="4"/>
  <c r="D36" i="4" s="1"/>
  <c r="C37" i="4"/>
  <c r="D37" i="4" s="1"/>
  <c r="C38" i="4"/>
  <c r="E38" i="4" s="1"/>
  <c r="C39" i="4"/>
  <c r="D39" i="4" s="1"/>
  <c r="C40" i="4"/>
  <c r="D40" i="4" s="1"/>
  <c r="C41" i="4"/>
  <c r="D41" i="4" s="1"/>
  <c r="C42" i="4"/>
  <c r="D42" i="4" s="1"/>
  <c r="C43" i="4"/>
  <c r="D43" i="4" s="1"/>
  <c r="C44" i="4"/>
  <c r="E44" i="4" s="1"/>
  <c r="C45" i="4"/>
  <c r="D45" i="4" s="1"/>
  <c r="C46" i="4"/>
  <c r="E46" i="4" s="1"/>
  <c r="C47" i="4"/>
  <c r="D47" i="4" s="1"/>
  <c r="C48" i="4"/>
  <c r="D48" i="4" s="1"/>
  <c r="C49" i="4"/>
  <c r="D49" i="4" s="1"/>
  <c r="C50" i="4"/>
  <c r="E50" i="4" s="1"/>
  <c r="C51" i="4"/>
  <c r="E51" i="4" s="1"/>
  <c r="C52" i="4"/>
  <c r="E52" i="4" s="1"/>
  <c r="C53" i="4"/>
  <c r="D53" i="4" s="1"/>
  <c r="C3" i="4"/>
  <c r="E3" i="4" s="1"/>
  <c r="D28" i="4"/>
  <c r="C44" i="1"/>
  <c r="C45" i="1" s="1"/>
  <c r="B58" i="1" s="1"/>
  <c r="B3" i="4"/>
  <c r="G3" i="4"/>
  <c r="H3" i="4"/>
  <c r="B4" i="4"/>
  <c r="G4" i="4"/>
  <c r="H4" i="4"/>
  <c r="B5" i="4"/>
  <c r="G5" i="4"/>
  <c r="H5" i="4"/>
  <c r="B6" i="4"/>
  <c r="G6" i="4"/>
  <c r="H6" i="4"/>
  <c r="B7" i="4"/>
  <c r="G7" i="4"/>
  <c r="H7" i="4"/>
  <c r="B8" i="4"/>
  <c r="G8" i="4"/>
  <c r="H8" i="4"/>
  <c r="B9" i="4"/>
  <c r="G9" i="4"/>
  <c r="H9" i="4"/>
  <c r="B10" i="4"/>
  <c r="G10" i="4"/>
  <c r="H10" i="4"/>
  <c r="B11" i="4"/>
  <c r="G11" i="4"/>
  <c r="H11" i="4"/>
  <c r="B12" i="4"/>
  <c r="G12" i="4"/>
  <c r="H12" i="4"/>
  <c r="B13" i="4"/>
  <c r="G13" i="4"/>
  <c r="H13" i="4"/>
  <c r="B14" i="4"/>
  <c r="G14" i="4"/>
  <c r="H14" i="4"/>
  <c r="B15" i="4"/>
  <c r="G15" i="4"/>
  <c r="H15" i="4"/>
  <c r="B16" i="4"/>
  <c r="G16" i="4"/>
  <c r="H16" i="4"/>
  <c r="B17" i="4"/>
  <c r="G17" i="4"/>
  <c r="H17" i="4"/>
  <c r="B18" i="4"/>
  <c r="G18" i="4"/>
  <c r="H18" i="4"/>
  <c r="B19" i="4"/>
  <c r="G19" i="4"/>
  <c r="H19" i="4"/>
  <c r="B20" i="4"/>
  <c r="G20" i="4"/>
  <c r="H20" i="4"/>
  <c r="B21" i="4"/>
  <c r="G21" i="4"/>
  <c r="H21" i="4"/>
  <c r="B22" i="4"/>
  <c r="G22" i="4"/>
  <c r="H22" i="4"/>
  <c r="B23" i="4"/>
  <c r="G23" i="4"/>
  <c r="H23" i="4"/>
  <c r="B24" i="4"/>
  <c r="G24" i="4"/>
  <c r="H24" i="4"/>
  <c r="B25" i="4"/>
  <c r="G25" i="4"/>
  <c r="H25" i="4"/>
  <c r="B26" i="4"/>
  <c r="G26" i="4"/>
  <c r="H26" i="4"/>
  <c r="B27" i="4"/>
  <c r="G27" i="4"/>
  <c r="H27" i="4"/>
  <c r="B28" i="4"/>
  <c r="G28" i="4"/>
  <c r="H28" i="4"/>
  <c r="B29" i="4"/>
  <c r="G29" i="4"/>
  <c r="H29" i="4"/>
  <c r="B30" i="4"/>
  <c r="G30" i="4"/>
  <c r="H30" i="4"/>
  <c r="B31" i="4"/>
  <c r="G31" i="4"/>
  <c r="H31" i="4"/>
  <c r="B32" i="4"/>
  <c r="G32" i="4"/>
  <c r="H32" i="4"/>
  <c r="B33" i="4"/>
  <c r="G33" i="4"/>
  <c r="H33" i="4"/>
  <c r="B34" i="4"/>
  <c r="G34" i="4"/>
  <c r="H34" i="4"/>
  <c r="B35" i="4"/>
  <c r="G35" i="4"/>
  <c r="H35" i="4"/>
  <c r="B36" i="4"/>
  <c r="G36" i="4"/>
  <c r="H36" i="4"/>
  <c r="B37" i="4"/>
  <c r="G37" i="4"/>
  <c r="H37" i="4"/>
  <c r="B38" i="4"/>
  <c r="G38" i="4"/>
  <c r="H38" i="4"/>
  <c r="B39" i="4"/>
  <c r="G39" i="4"/>
  <c r="H39" i="4"/>
  <c r="B40" i="4"/>
  <c r="G40" i="4"/>
  <c r="H40" i="4"/>
  <c r="B41" i="4"/>
  <c r="G41" i="4"/>
  <c r="H41" i="4"/>
  <c r="B42" i="4"/>
  <c r="G42" i="4"/>
  <c r="H42" i="4"/>
  <c r="B43" i="4"/>
  <c r="G43" i="4"/>
  <c r="H43" i="4"/>
  <c r="B44" i="4"/>
  <c r="G44" i="4"/>
  <c r="H44" i="4"/>
  <c r="B45" i="4"/>
  <c r="G45" i="4"/>
  <c r="H45" i="4"/>
  <c r="B46" i="4"/>
  <c r="G46" i="4"/>
  <c r="H46" i="4"/>
  <c r="B47" i="4"/>
  <c r="G47" i="4"/>
  <c r="H47" i="4"/>
  <c r="B48" i="4"/>
  <c r="G48" i="4"/>
  <c r="H48" i="4"/>
  <c r="B49" i="4"/>
  <c r="G49" i="4"/>
  <c r="H49" i="4"/>
  <c r="B50" i="4"/>
  <c r="G50" i="4"/>
  <c r="H50" i="4"/>
  <c r="B51" i="4"/>
  <c r="G51" i="4"/>
  <c r="H51" i="4"/>
  <c r="B52" i="4"/>
  <c r="G52" i="4"/>
  <c r="H52" i="4"/>
  <c r="B53" i="4"/>
  <c r="G53" i="4"/>
  <c r="H53" i="4"/>
  <c r="E8" i="4" l="1"/>
  <c r="D4" i="4"/>
  <c r="E12" i="4"/>
  <c r="E20" i="4"/>
  <c r="D52" i="4"/>
  <c r="D44" i="4"/>
  <c r="E36" i="4"/>
  <c r="D16" i="4"/>
  <c r="D32" i="4"/>
  <c r="D24" i="4"/>
  <c r="E48" i="4"/>
  <c r="E26" i="4"/>
  <c r="E30" i="4"/>
  <c r="E40" i="4"/>
  <c r="D34" i="4"/>
  <c r="D51" i="4"/>
  <c r="F51" i="4" s="1"/>
  <c r="E23" i="4"/>
  <c r="F23" i="4" s="1"/>
  <c r="D19" i="4"/>
  <c r="D3" i="4"/>
  <c r="D50" i="4"/>
  <c r="D46" i="4"/>
  <c r="D18" i="4"/>
  <c r="D14" i="4"/>
  <c r="E42" i="4"/>
  <c r="E39" i="4"/>
  <c r="F39" i="4" s="1"/>
  <c r="D35" i="4"/>
  <c r="F35" i="4" s="1"/>
  <c r="E10" i="4"/>
  <c r="E7" i="4"/>
  <c r="E43" i="4"/>
  <c r="E27" i="4"/>
  <c r="E11" i="4"/>
  <c r="E47" i="4"/>
  <c r="D38" i="4"/>
  <c r="E31" i="4"/>
  <c r="D22" i="4"/>
  <c r="E15" i="4"/>
  <c r="D6" i="4"/>
  <c r="E45" i="4"/>
  <c r="F45" i="4" s="1"/>
  <c r="E41" i="4"/>
  <c r="F41" i="4" s="1"/>
  <c r="E37" i="4"/>
  <c r="F37" i="4" s="1"/>
  <c r="E33" i="4"/>
  <c r="F33" i="4" s="1"/>
  <c r="E29" i="4"/>
  <c r="F29" i="4" s="1"/>
  <c r="E25" i="4"/>
  <c r="F25" i="4" s="1"/>
  <c r="E21" i="4"/>
  <c r="F21" i="4" s="1"/>
  <c r="E17" i="4"/>
  <c r="F17" i="4" s="1"/>
  <c r="E13" i="4"/>
  <c r="F13" i="4" s="1"/>
  <c r="E9" i="4"/>
  <c r="F9" i="4" s="1"/>
  <c r="E5" i="4"/>
  <c r="F5" i="4" s="1"/>
  <c r="E53" i="4"/>
  <c r="F53" i="4" s="1"/>
  <c r="E49" i="4"/>
  <c r="F49" i="4" s="1"/>
  <c r="C58" i="1"/>
  <c r="C51" i="1" s="1"/>
  <c r="B51" i="1"/>
  <c r="C46" i="1"/>
  <c r="F16" i="4" l="1"/>
  <c r="F4" i="4"/>
  <c r="F8" i="4"/>
  <c r="F31" i="4"/>
  <c r="F43" i="4"/>
  <c r="F20" i="4"/>
  <c r="F27" i="4"/>
  <c r="F47" i="4"/>
  <c r="F34" i="4"/>
  <c r="F50" i="4"/>
  <c r="F10" i="4"/>
  <c r="F46" i="4"/>
  <c r="F42" i="4"/>
  <c r="F12" i="4"/>
  <c r="F32" i="4"/>
  <c r="F48" i="4"/>
  <c r="F7" i="4"/>
  <c r="F15" i="4"/>
  <c r="F44" i="4"/>
  <c r="F22" i="4"/>
  <c r="F6" i="4"/>
  <c r="F24" i="4"/>
  <c r="B55" i="1"/>
  <c r="B57" i="1"/>
  <c r="B56" i="1"/>
  <c r="F46" i="1" s="1"/>
  <c r="F28" i="4"/>
  <c r="F11" i="4"/>
  <c r="F19" i="4"/>
  <c r="F14" i="4"/>
  <c r="F38" i="4"/>
  <c r="F26" i="4"/>
  <c r="F40" i="4"/>
  <c r="F36" i="4"/>
  <c r="F52" i="4"/>
  <c r="F18" i="4"/>
  <c r="F30" i="4"/>
  <c r="C57" i="1" l="1"/>
  <c r="C50" i="1" s="1"/>
  <c r="B50" i="1"/>
  <c r="C55" i="1"/>
  <c r="B48" i="1"/>
  <c r="C48" i="1" s="1"/>
  <c r="C56" i="1"/>
  <c r="C49" i="1" s="1"/>
  <c r="B49" i="1"/>
  <c r="F45" i="1" l="1"/>
  <c r="F44" i="1"/>
  <c r="C52" i="1"/>
  <c r="C59" i="1"/>
  <c r="C60" i="1" s="1"/>
  <c r="C53" i="1" l="1"/>
  <c r="C16" i="1"/>
  <c r="F14" i="1" l="1"/>
  <c r="F16" i="1" s="1"/>
  <c r="F29" i="1"/>
  <c r="C17" i="1"/>
  <c r="C18" i="1" s="1"/>
  <c r="J9" i="4"/>
  <c r="J25" i="4"/>
  <c r="J41" i="4"/>
  <c r="J38" i="4"/>
  <c r="J14" i="4"/>
  <c r="J46" i="4"/>
  <c r="J15" i="4"/>
  <c r="J31" i="4"/>
  <c r="J47" i="4"/>
  <c r="J50" i="4"/>
  <c r="J16" i="4"/>
  <c r="J32" i="4"/>
  <c r="J48" i="4"/>
  <c r="J13" i="4"/>
  <c r="J18" i="4"/>
  <c r="J35" i="4"/>
  <c r="J20" i="4"/>
  <c r="J17" i="4"/>
  <c r="J33" i="4"/>
  <c r="J49" i="4"/>
  <c r="J6" i="4"/>
  <c r="J22" i="4"/>
  <c r="J7" i="4"/>
  <c r="J23" i="4"/>
  <c r="J39" i="4"/>
  <c r="J26" i="4"/>
  <c r="J8" i="4"/>
  <c r="J24" i="4"/>
  <c r="J40" i="4"/>
  <c r="J21" i="4"/>
  <c r="J37" i="4"/>
  <c r="J53" i="4"/>
  <c r="J10" i="4"/>
  <c r="J30" i="4"/>
  <c r="J11" i="4"/>
  <c r="J43" i="4"/>
  <c r="J34" i="4"/>
  <c r="J28" i="4"/>
  <c r="J29" i="4"/>
  <c r="J42" i="4"/>
  <c r="J19" i="4"/>
  <c r="J4" i="4"/>
  <c r="J52" i="4"/>
  <c r="J5" i="4"/>
  <c r="J27" i="4"/>
  <c r="J12" i="4"/>
  <c r="J44" i="4"/>
  <c r="J45" i="4"/>
  <c r="J3" i="4"/>
  <c r="J51" i="4"/>
  <c r="J36" i="4"/>
  <c r="F28" i="1"/>
  <c r="F17" i="1"/>
  <c r="F18" i="1"/>
  <c r="F31" i="1" l="1"/>
  <c r="C10" i="1"/>
  <c r="I18" i="4"/>
  <c r="I34" i="4"/>
  <c r="I50" i="4"/>
  <c r="I11" i="4"/>
  <c r="I27" i="4"/>
  <c r="I8" i="4"/>
  <c r="I24" i="4"/>
  <c r="I47" i="4"/>
  <c r="I33" i="4"/>
  <c r="I5" i="4"/>
  <c r="I6" i="4"/>
  <c r="I22" i="4"/>
  <c r="I38" i="4"/>
  <c r="I15" i="4"/>
  <c r="I35" i="4"/>
  <c r="I12" i="4"/>
  <c r="I28" i="4"/>
  <c r="I44" i="4"/>
  <c r="I53" i="4"/>
  <c r="I10" i="4"/>
  <c r="I26" i="4"/>
  <c r="I42" i="4"/>
  <c r="I3" i="4"/>
  <c r="I19" i="4"/>
  <c r="I43" i="4"/>
  <c r="I16" i="4"/>
  <c r="I32" i="4"/>
  <c r="I48" i="4"/>
  <c r="I9" i="4"/>
  <c r="I25" i="4"/>
  <c r="I41" i="4"/>
  <c r="I31" i="4"/>
  <c r="I17" i="4"/>
  <c r="I49" i="4"/>
  <c r="I21" i="4"/>
  <c r="I14" i="4"/>
  <c r="I30" i="4"/>
  <c r="I46" i="4"/>
  <c r="I7" i="4"/>
  <c r="I23" i="4"/>
  <c r="I4" i="4"/>
  <c r="I20" i="4"/>
  <c r="I36" i="4"/>
  <c r="I52" i="4"/>
  <c r="I13" i="4"/>
  <c r="I29" i="4"/>
  <c r="I45" i="4"/>
  <c r="I39" i="4"/>
  <c r="I40" i="4"/>
  <c r="I51" i="4"/>
  <c r="I37" i="4"/>
  <c r="C25" i="1"/>
  <c r="F11" i="1"/>
  <c r="F7" i="1"/>
  <c r="F9" i="1" s="1"/>
  <c r="F10" i="1"/>
  <c r="C26" i="1" l="1"/>
  <c r="C21" i="1"/>
  <c r="C23" i="1" s="1"/>
  <c r="C11" i="1"/>
</calcChain>
</file>

<file path=xl/sharedStrings.xml><?xml version="1.0" encoding="utf-8"?>
<sst xmlns="http://schemas.openxmlformats.org/spreadsheetml/2006/main" count="83" uniqueCount="66">
  <si>
    <t>Ip (mA)</t>
  </si>
  <si>
    <t>kT (eV)</t>
  </si>
  <si>
    <t>Ip_1 (mA)</t>
  </si>
  <si>
    <t>Ip_2 (mA)</t>
  </si>
  <si>
    <t>V1 (V)</t>
  </si>
  <si>
    <t>V2(V)</t>
  </si>
  <si>
    <t>I0_1 (mA)</t>
  </si>
  <si>
    <t>I0_2 (mA)</t>
  </si>
  <si>
    <t>I (mA)</t>
  </si>
  <si>
    <t>n_1</t>
  </si>
  <si>
    <t>n_2</t>
  </si>
  <si>
    <t>n_1+n_2</t>
  </si>
  <si>
    <t>f</t>
  </si>
  <si>
    <t>1-f</t>
  </si>
  <si>
    <t>I_p1</t>
  </si>
  <si>
    <t>I_p2</t>
  </si>
  <si>
    <t>V (V)</t>
  </si>
  <si>
    <t>V2 (V)</t>
  </si>
  <si>
    <t>Isc (mA)</t>
  </si>
  <si>
    <t>u</t>
  </si>
  <si>
    <t>Voc (V)</t>
  </si>
  <si>
    <t>I_1</t>
  </si>
  <si>
    <t>I_2</t>
  </si>
  <si>
    <t>Ierror</t>
  </si>
  <si>
    <t>solve for Isc:</t>
  </si>
  <si>
    <t>Vm (V)</t>
  </si>
  <si>
    <t>Im (mA)</t>
  </si>
  <si>
    <t>cell 1:</t>
  </si>
  <si>
    <t>V1m (V)</t>
  </si>
  <si>
    <t>I1m (mA)</t>
  </si>
  <si>
    <t>P1m (mW)</t>
  </si>
  <si>
    <t>Pm (mW)</t>
  </si>
  <si>
    <t>V2m (V)</t>
  </si>
  <si>
    <t>cell 2:</t>
  </si>
  <si>
    <t>I2m (mA)</t>
  </si>
  <si>
    <t>P2m (mW)</t>
  </si>
  <si>
    <t>I1 (mA)</t>
  </si>
  <si>
    <t>V1oc (V)</t>
  </si>
  <si>
    <t>I1sc (mA)</t>
  </si>
  <si>
    <t>V2oc (V)</t>
  </si>
  <si>
    <t>I2sc (mA)</t>
  </si>
  <si>
    <t>I2 (mA)</t>
  </si>
  <si>
    <t>V1c (V)</t>
  </si>
  <si>
    <t>V2c V)</t>
  </si>
  <si>
    <t>I_sc (mA)</t>
  </si>
  <si>
    <t>I_p1 (mA)</t>
  </si>
  <si>
    <t>I_p2 (mA)</t>
  </si>
  <si>
    <t>P1 (mW)</t>
  </si>
  <si>
    <t>P2 (mW)</t>
  </si>
  <si>
    <t>Enter data here:</t>
  </si>
  <si>
    <t>A1</t>
  </si>
  <si>
    <t>A2</t>
  </si>
  <si>
    <t>B1</t>
  </si>
  <si>
    <t>B2</t>
  </si>
  <si>
    <t>r1</t>
  </si>
  <si>
    <t>r2</t>
  </si>
  <si>
    <t>total photocurrent</t>
  </si>
  <si>
    <t>thermal energy</t>
  </si>
  <si>
    <t>cell-1 ideality</t>
  </si>
  <si>
    <t>cell-1 dark current</t>
  </si>
  <si>
    <t>cell-2 ideality</t>
  </si>
  <si>
    <t>cell-2 dark current</t>
  </si>
  <si>
    <t>max. power point:</t>
  </si>
  <si>
    <t>cell-2 photocurrent fraction</t>
  </si>
  <si>
    <t>ideality</t>
  </si>
  <si>
    <t>dark current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</si>
</sst>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000"/>
    <numFmt numFmtId="166" formatCode="0.00000"/>
    <numFmt numFmtId="167" formatCode="0.0000000"/>
  </numFmts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i/>
      <sz val="14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5.6"/>
      <color rgb="FF000000"/>
      <name val="Aptos Narrow"/>
    </font>
    <font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4"/>
        <bgColor indexed="64"/>
      </patternFill>
    </fill>
    <fill>
      <patternFill patternType="solid">
        <fgColor theme="4" tint="0.79998168889431442"/>
        <bgColor indexed="65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164" fontId="6" fillId="2" borderId="1" applyBorder="0" applyProtection="0"/>
    <xf numFmtId="11" fontId="6" fillId="5" borderId="1"/>
    <xf numFmtId="0" fontId="6" fillId="6" borderId="1" applyBorder="0"/>
    <xf numFmtId="0" fontId="6" fillId="0" borderId="1" applyBorder="0"/>
  </cellStyleXfs>
  <cellXfs count="30">
    <xf numFmtId="0" fontId="0" fillId="0" borderId="0" xfId="0"/>
    <xf numFmtId="11" fontId="0" fillId="0" borderId="0" xfId="0" applyNumberFormat="1"/>
    <xf numFmtId="164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3" fillId="0" borderId="0" xfId="0" applyFont="1"/>
    <xf numFmtId="165" fontId="0" fillId="0" borderId="0" xfId="0" applyNumberFormat="1"/>
    <xf numFmtId="165" fontId="1" fillId="0" borderId="0" xfId="0" applyNumberFormat="1" applyFont="1"/>
    <xf numFmtId="0" fontId="0" fillId="0" borderId="1" xfId="0" applyBorder="1"/>
    <xf numFmtId="11" fontId="0" fillId="0" borderId="1" xfId="0" applyNumberFormat="1" applyBorder="1"/>
    <xf numFmtId="0" fontId="0" fillId="0" borderId="2" xfId="0" applyBorder="1"/>
    <xf numFmtId="0" fontId="0" fillId="0" borderId="3" xfId="0" applyBorder="1"/>
    <xf numFmtId="165" fontId="0" fillId="0" borderId="4" xfId="0" applyNumberForma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11" fontId="0" fillId="0" borderId="8" xfId="0" applyNumberFormat="1" applyBorder="1"/>
    <xf numFmtId="0" fontId="0" fillId="0" borderId="9" xfId="0" applyBorder="1"/>
    <xf numFmtId="0" fontId="0" fillId="0" borderId="10" xfId="0" applyBorder="1"/>
    <xf numFmtId="0" fontId="4" fillId="0" borderId="0" xfId="0" applyFont="1"/>
    <xf numFmtId="0" fontId="0" fillId="0" borderId="11" xfId="0" applyBorder="1" applyProtection="1">
      <protection hidden="1"/>
    </xf>
    <xf numFmtId="0" fontId="0" fillId="3" borderId="1" xfId="0" applyFill="1" applyBorder="1"/>
    <xf numFmtId="164" fontId="6" fillId="2" borderId="1" xfId="1" applyBorder="1"/>
    <xf numFmtId="164" fontId="6" fillId="2" borderId="0" xfId="1" applyBorder="1"/>
    <xf numFmtId="165" fontId="0" fillId="0" borderId="0" xfId="0" applyNumberFormat="1" applyBorder="1"/>
    <xf numFmtId="0" fontId="0" fillId="4" borderId="0" xfId="0" applyFill="1" applyBorder="1"/>
    <xf numFmtId="0" fontId="0" fillId="3" borderId="0" xfId="0" applyFill="1" applyBorder="1"/>
    <xf numFmtId="11" fontId="6" fillId="5" borderId="0" xfId="2" applyBorder="1"/>
    <xf numFmtId="11" fontId="0" fillId="5" borderId="0" xfId="0" applyNumberFormat="1" applyFill="1" applyBorder="1"/>
  </cellXfs>
  <cellStyles count="5">
    <cellStyle name="f_frac" xfId="4" xr:uid="{33EFC6D3-689B-0443-A410-D1B4EC60562C}"/>
    <cellStyle name="I_large" xfId="1" xr:uid="{646015BD-7E34-6A4D-B8F4-3516265D7B2D}"/>
    <cellStyle name="I_small" xfId="2" xr:uid="{C1A87543-32B0-7B4B-A249-A81561464206}"/>
    <cellStyle name="n_fac" xfId="3" xr:uid="{7DA42C07-FD10-864A-8702-706924AB6993}"/>
    <cellStyle name="Normal" xfId="0" builtinId="0"/>
  </cellStyles>
  <dxfs count="0"/>
  <tableStyles count="0" defaultTableStyle="TableStyleMedium2" defaultPivotStyle="PivotStyleLight16"/>
  <colors>
    <mruColors>
      <color rgb="FFFFFF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tandem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calc!$F$3:$F$53</c:f>
              <c:numCache>
                <c:formatCode>0.0000</c:formatCode>
                <c:ptCount val="51"/>
                <c:pt idx="0">
                  <c:v>0</c:v>
                </c:pt>
                <c:pt idx="1">
                  <c:v>1.6824095987326255</c:v>
                </c:pt>
                <c:pt idx="2">
                  <c:v>1.7370480198176628</c:v>
                </c:pt>
                <c:pt idx="3">
                  <c:v>1.7693361335105182</c:v>
                </c:pt>
                <c:pt idx="4">
                  <c:v>1.7924750948213979</c:v>
                </c:pt>
                <c:pt idx="5">
                  <c:v>1.8106020021879927</c:v>
                </c:pt>
                <c:pt idx="6">
                  <c:v>1.8255596292699212</c:v>
                </c:pt>
                <c:pt idx="7">
                  <c:v>1.8383309673350028</c:v>
                </c:pt>
                <c:pt idx="8">
                  <c:v>1.8495027742369892</c:v>
                </c:pt>
                <c:pt idx="9">
                  <c:v>1.8594535204803866</c:v>
                </c:pt>
                <c:pt idx="10">
                  <c:v>1.8684416227196943</c:v>
                </c:pt>
                <c:pt idx="11">
                  <c:v>1.8766513986819535</c:v>
                </c:pt>
                <c:pt idx="12">
                  <c:v>1.8842189414005277</c:v>
                </c:pt>
                <c:pt idx="13">
                  <c:v>1.8912476010620276</c:v>
                </c:pt>
                <c:pt idx="14">
                  <c:v>1.8978177130339668</c:v>
                </c:pt>
                <c:pt idx="15">
                  <c:v>1.9039929615540028</c:v>
                </c:pt>
                <c:pt idx="16">
                  <c:v>1.9098246854296739</c:v>
                </c:pt>
                <c:pt idx="17">
                  <c:v>1.9153548761123447</c:v>
                </c:pt>
                <c:pt idx="18">
                  <c:v>1.9206183175248608</c:v>
                </c:pt>
                <c:pt idx="19">
                  <c:v>1.9256441465689151</c:v>
                </c:pt>
                <c:pt idx="20">
                  <c:v>1.9304570128925269</c:v>
                </c:pt>
                <c:pt idx="21">
                  <c:v>1.9350779554005939</c:v>
                </c:pt>
                <c:pt idx="22">
                  <c:v>1.9395250746742807</c:v>
                </c:pt>
                <c:pt idx="23">
                  <c:v>1.9438140557966785</c:v>
                </c:pt>
                <c:pt idx="24">
                  <c:v>1.9479585798255838</c:v>
                </c:pt>
                <c:pt idx="25">
                  <c:v>1.9519706512139492</c:v>
                </c:pt>
                <c:pt idx="26">
                  <c:v>1.9558608609753065</c:v>
                </c:pt>
                <c:pt idx="27">
                  <c:v>1.9596386001561918</c:v>
                </c:pt>
                <c:pt idx="28">
                  <c:v>1.9633122344671374</c:v>
                </c:pt>
                <c:pt idx="29">
                  <c:v>1.9668892482559883</c:v>
                </c:pt>
                <c:pt idx="30">
                  <c:v>1.9703763640636756</c:v>
                </c:pt>
                <c:pt idx="31">
                  <c:v>1.9737796425692653</c:v>
                </c:pt>
                <c:pt idx="32">
                  <c:v>1.9771045666621019</c:v>
                </c:pt>
                <c:pt idx="33">
                  <c:v>1.9803561125732196</c:v>
                </c:pt>
                <c:pt idx="34">
                  <c:v>1.9835388103850971</c:v>
                </c:pt>
                <c:pt idx="35">
                  <c:v>1.9866567957679993</c:v>
                </c:pt>
                <c:pt idx="36">
                  <c:v>1.9897138544264918</c:v>
                </c:pt>
                <c:pt idx="37">
                  <c:v>1.9927134604550307</c:v>
                </c:pt>
                <c:pt idx="38">
                  <c:v>1.9956588095776184</c:v>
                </c:pt>
                <c:pt idx="39">
                  <c:v>1.9985528480691599</c:v>
                </c:pt>
                <c:pt idx="40">
                  <c:v>2.0013982980147293</c:v>
                </c:pt>
                <c:pt idx="41">
                  <c:v>2.0041976794494891</c:v>
                </c:pt>
                <c:pt idx="42">
                  <c:v>2.0069533298304214</c:v>
                </c:pt>
                <c:pt idx="43">
                  <c:v>2.0096674212166894</c:v>
                </c:pt>
                <c:pt idx="44">
                  <c:v>2.0123419754747829</c:v>
                </c:pt>
                <c:pt idx="45">
                  <c:v>2.0149788777748583</c:v>
                </c:pt>
                <c:pt idx="46">
                  <c:v>2.0175798886036782</c:v>
                </c:pt>
                <c:pt idx="47">
                  <c:v>2.0201466544856181</c:v>
                </c:pt>
                <c:pt idx="48">
                  <c:v>2.0226807175749686</c:v>
                </c:pt>
                <c:pt idx="49">
                  <c:v>2.025183524259214</c:v>
                </c:pt>
                <c:pt idx="50">
                  <c:v>2.0276564328931985</c:v>
                </c:pt>
              </c:numCache>
            </c:numRef>
          </c:xVal>
          <c:yVal>
            <c:numRef>
              <c:f>calc!$C$3:$C$53</c:f>
              <c:numCache>
                <c:formatCode>0.0000</c:formatCode>
                <c:ptCount val="51"/>
                <c:pt idx="0">
                  <c:v>1.0000000001</c:v>
                </c:pt>
                <c:pt idx="1">
                  <c:v>0.98824329075570549</c:v>
                </c:pt>
                <c:pt idx="2">
                  <c:v>0.9762490801283511</c:v>
                </c:pt>
                <c:pt idx="3">
                  <c:v>0.96401257037376098</c:v>
                </c:pt>
                <c:pt idx="4">
                  <c:v>0.95152886672487769</c:v>
                </c:pt>
                <c:pt idx="5">
                  <c:v>0.93879297553379015</c:v>
                </c:pt>
                <c:pt idx="6">
                  <c:v>0.92579980227420755</c:v>
                </c:pt>
                <c:pt idx="7">
                  <c:v>0.91254414950358176</c:v>
                </c:pt>
                <c:pt idx="8">
                  <c:v>0.89902071478405976</c:v>
                </c:pt>
                <c:pt idx="9">
                  <c:v>0.88522408856143919</c:v>
                </c:pt>
                <c:pt idx="10">
                  <c:v>0.87114875200127329</c:v>
                </c:pt>
                <c:pt idx="11">
                  <c:v>0.85678907478126465</c:v>
                </c:pt>
                <c:pt idx="12">
                  <c:v>0.84213931283905996</c:v>
                </c:pt>
                <c:pt idx="13">
                  <c:v>0.82719360607454984</c:v>
                </c:pt>
                <c:pt idx="14">
                  <c:v>0.81194597600574969</c:v>
                </c:pt>
                <c:pt idx="15">
                  <c:v>0.7963903233773274</c:v>
                </c:pt>
                <c:pt idx="16">
                  <c:v>0.78052042572082025</c:v>
                </c:pt>
                <c:pt idx="17">
                  <c:v>0.76432993486556433</c:v>
                </c:pt>
                <c:pt idx="18">
                  <c:v>0.74781237439934145</c:v>
                </c:pt>
                <c:pt idx="19">
                  <c:v>0.73096113707772747</c:v>
                </c:pt>
                <c:pt idx="20">
                  <c:v>0.71376948218110825</c:v>
                </c:pt>
                <c:pt idx="21">
                  <c:v>0.69623053281829994</c:v>
                </c:pt>
                <c:pt idx="22">
                  <c:v>0.67833727317570114</c:v>
                </c:pt>
                <c:pt idx="23">
                  <c:v>0.66008254571087543</c:v>
                </c:pt>
                <c:pt idx="24">
                  <c:v>0.64145904828943678</c:v>
                </c:pt>
                <c:pt idx="25">
                  <c:v>0.62245933126410047</c:v>
                </c:pt>
                <c:pt idx="26">
                  <c:v>0.60307579449472304</c:v>
                </c:pt>
                <c:pt idx="27">
                  <c:v>0.58330068430814641</c:v>
                </c:pt>
                <c:pt idx="28">
                  <c:v>0.56312609039662409</c:v>
                </c:pt>
                <c:pt idx="29">
                  <c:v>0.54254394265359351</c:v>
                </c:pt>
                <c:pt idx="30">
                  <c:v>0.52154600794552508</c:v>
                </c:pt>
                <c:pt idx="31">
                  <c:v>0.50012388681855924</c:v>
                </c:pt>
                <c:pt idx="32">
                  <c:v>0.47826901013861317</c:v>
                </c:pt>
                <c:pt idx="33">
                  <c:v>0.45597263566361262</c:v>
                </c:pt>
                <c:pt idx="34">
                  <c:v>0.43322584454647883</c:v>
                </c:pt>
                <c:pt idx="35">
                  <c:v>0.41001953776747035</c:v>
                </c:pt>
                <c:pt idx="36">
                  <c:v>0.38634443249445383</c:v>
                </c:pt>
                <c:pt idx="37">
                  <c:v>0.36219105836964788</c:v>
                </c:pt>
                <c:pt idx="38">
                  <c:v>0.33754975372135332</c:v>
                </c:pt>
                <c:pt idx="39">
                  <c:v>0.31241066169915549</c:v>
                </c:pt>
                <c:pt idx="40">
                  <c:v>0.28676372633105318</c:v>
                </c:pt>
                <c:pt idx="41">
                  <c:v>0.26059868850093587</c:v>
                </c:pt>
                <c:pt idx="42">
                  <c:v>0.23390508184479974</c:v>
                </c:pt>
                <c:pt idx="43">
                  <c:v>0.20667222856406217</c:v>
                </c:pt>
                <c:pt idx="44">
                  <c:v>0.17888923515430166</c:v>
                </c:pt>
                <c:pt idx="45">
                  <c:v>0.15054498804770933</c:v>
                </c:pt>
                <c:pt idx="46">
                  <c:v>0.12162814916751451</c:v>
                </c:pt>
                <c:pt idx="47">
                  <c:v>9.2127151392601941E-2</c:v>
                </c:pt>
                <c:pt idx="48">
                  <c:v>6.2030193930509993E-2</c:v>
                </c:pt>
                <c:pt idx="49">
                  <c:v>3.1325237596955519E-2</c:v>
                </c:pt>
                <c:pt idx="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9A-5746-AEAC-2496E8DF0B14}"/>
            </c:ext>
          </c:extLst>
        </c:ser>
        <c:ser>
          <c:idx val="2"/>
          <c:order val="1"/>
          <c:tx>
            <c:v>cell1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calc!$G$3:$G$53</c:f>
              <c:numCache>
                <c:formatCode>0.0000</c:formatCode>
                <c:ptCount val="51"/>
                <c:pt idx="0">
                  <c:v>0</c:v>
                </c:pt>
                <c:pt idx="1">
                  <c:v>1.1927390781760956E-2</c:v>
                </c:pt>
                <c:pt idx="2">
                  <c:v>2.3854781563521912E-2</c:v>
                </c:pt>
                <c:pt idx="3">
                  <c:v>3.5782172345282866E-2</c:v>
                </c:pt>
                <c:pt idx="4">
                  <c:v>4.7709563127043823E-2</c:v>
                </c:pt>
                <c:pt idx="5">
                  <c:v>5.9636953908804781E-2</c:v>
                </c:pt>
                <c:pt idx="6">
                  <c:v>7.1564344690565732E-2</c:v>
                </c:pt>
                <c:pt idx="7">
                  <c:v>8.3491735472326703E-2</c:v>
                </c:pt>
                <c:pt idx="8">
                  <c:v>9.5419126254087647E-2</c:v>
                </c:pt>
                <c:pt idx="9">
                  <c:v>0.1073465170358486</c:v>
                </c:pt>
                <c:pt idx="10">
                  <c:v>0.11927390781760956</c:v>
                </c:pt>
                <c:pt idx="11">
                  <c:v>0.13120129859937052</c:v>
                </c:pt>
                <c:pt idx="12">
                  <c:v>0.14312868938113146</c:v>
                </c:pt>
                <c:pt idx="13">
                  <c:v>0.15505608016289243</c:v>
                </c:pt>
                <c:pt idx="14">
                  <c:v>0.16698347094465341</c:v>
                </c:pt>
                <c:pt idx="15">
                  <c:v>0.17891086172641432</c:v>
                </c:pt>
                <c:pt idx="16">
                  <c:v>0.19083825250817529</c:v>
                </c:pt>
                <c:pt idx="17">
                  <c:v>0.20276564328993626</c:v>
                </c:pt>
                <c:pt idx="18">
                  <c:v>0.21469303407169721</c:v>
                </c:pt>
                <c:pt idx="19">
                  <c:v>0.22662042485345815</c:v>
                </c:pt>
                <c:pt idx="20">
                  <c:v>0.23854781563521912</c:v>
                </c:pt>
                <c:pt idx="21">
                  <c:v>0.25047520641698007</c:v>
                </c:pt>
                <c:pt idx="22">
                  <c:v>0.26240259719874104</c:v>
                </c:pt>
                <c:pt idx="23">
                  <c:v>0.27432998798050201</c:v>
                </c:pt>
                <c:pt idx="24">
                  <c:v>0.28625737876226293</c:v>
                </c:pt>
                <c:pt idx="25">
                  <c:v>0.2981847695440239</c:v>
                </c:pt>
                <c:pt idx="26">
                  <c:v>0.31011216032578487</c:v>
                </c:pt>
                <c:pt idx="27">
                  <c:v>0.32203955110754584</c:v>
                </c:pt>
                <c:pt idx="28">
                  <c:v>0.33396694188930681</c:v>
                </c:pt>
                <c:pt idx="29">
                  <c:v>0.34589433267106767</c:v>
                </c:pt>
                <c:pt idx="30">
                  <c:v>0.35782172345282864</c:v>
                </c:pt>
                <c:pt idx="31">
                  <c:v>0.36974911423458962</c:v>
                </c:pt>
                <c:pt idx="32">
                  <c:v>0.38167650501635059</c:v>
                </c:pt>
                <c:pt idx="33">
                  <c:v>0.39360389579811156</c:v>
                </c:pt>
                <c:pt idx="34">
                  <c:v>0.40553128657987253</c:v>
                </c:pt>
                <c:pt idx="35">
                  <c:v>0.4174586773616335</c:v>
                </c:pt>
                <c:pt idx="36">
                  <c:v>0.42938606814339442</c:v>
                </c:pt>
                <c:pt idx="37">
                  <c:v>0.44131345892515539</c:v>
                </c:pt>
                <c:pt idx="38">
                  <c:v>0.4532408497069163</c:v>
                </c:pt>
                <c:pt idx="39">
                  <c:v>0.46516824048867728</c:v>
                </c:pt>
                <c:pt idx="40">
                  <c:v>0.47709563127043825</c:v>
                </c:pt>
                <c:pt idx="41">
                  <c:v>0.48902302205219922</c:v>
                </c:pt>
                <c:pt idx="42">
                  <c:v>0.50095041283396013</c:v>
                </c:pt>
                <c:pt idx="43">
                  <c:v>0.51287780361572111</c:v>
                </c:pt>
                <c:pt idx="44">
                  <c:v>0.52480519439748208</c:v>
                </c:pt>
                <c:pt idx="45">
                  <c:v>0.53673258517924305</c:v>
                </c:pt>
                <c:pt idx="46">
                  <c:v>0.54865997596100402</c:v>
                </c:pt>
                <c:pt idx="47">
                  <c:v>0.56058736674276499</c:v>
                </c:pt>
                <c:pt idx="48">
                  <c:v>0.57251475752452585</c:v>
                </c:pt>
                <c:pt idx="49">
                  <c:v>0.58444214830628682</c:v>
                </c:pt>
                <c:pt idx="50">
                  <c:v>0.5963695390880478</c:v>
                </c:pt>
              </c:numCache>
            </c:numRef>
          </c:xVal>
          <c:yVal>
            <c:numRef>
              <c:f>calc!$I$3:$I$53</c:f>
              <c:numCache>
                <c:formatCode>0.0000</c:formatCode>
                <c:ptCount val="51"/>
                <c:pt idx="0">
                  <c:v>0.34726797493812334</c:v>
                </c:pt>
                <c:pt idx="1">
                  <c:v>0.34726797487963401</c:v>
                </c:pt>
                <c:pt idx="2">
                  <c:v>0.34726797478693472</c:v>
                </c:pt>
                <c:pt idx="3">
                  <c:v>0.34726797464001619</c:v>
                </c:pt>
                <c:pt idx="4">
                  <c:v>0.347267974407166</c:v>
                </c:pt>
                <c:pt idx="5">
                  <c:v>0.34726797403812332</c:v>
                </c:pt>
                <c:pt idx="6">
                  <c:v>0.34726797345323013</c:v>
                </c:pt>
                <c:pt idx="7">
                  <c:v>0.34726797252623692</c:v>
                </c:pt>
                <c:pt idx="8">
                  <c:v>0.34726797105705165</c:v>
                </c:pt>
                <c:pt idx="9">
                  <c:v>0.34726796872854987</c:v>
                </c:pt>
                <c:pt idx="10">
                  <c:v>0.34726796503812335</c:v>
                </c:pt>
                <c:pt idx="11">
                  <c:v>0.3472679591891914</c:v>
                </c:pt>
                <c:pt idx="12">
                  <c:v>0.34726794991925902</c:v>
                </c:pt>
                <c:pt idx="13">
                  <c:v>0.34726793522740629</c:v>
                </c:pt>
                <c:pt idx="14">
                  <c:v>0.34726791194238887</c:v>
                </c:pt>
                <c:pt idx="15">
                  <c:v>0.34726787503812334</c:v>
                </c:pt>
                <c:pt idx="16">
                  <c:v>0.34726781654880406</c:v>
                </c:pt>
                <c:pt idx="17">
                  <c:v>0.34726772384948018</c:v>
                </c:pt>
                <c:pt idx="18">
                  <c:v>0.34726757693095278</c:v>
                </c:pt>
                <c:pt idx="19">
                  <c:v>0.34726734408077881</c:v>
                </c:pt>
                <c:pt idx="20">
                  <c:v>0.34726697503812332</c:v>
                </c:pt>
                <c:pt idx="21">
                  <c:v>0.34726639014493083</c:v>
                </c:pt>
                <c:pt idx="22">
                  <c:v>0.34726546315169171</c:v>
                </c:pt>
                <c:pt idx="23">
                  <c:v>0.34726399396641761</c:v>
                </c:pt>
                <c:pt idx="24">
                  <c:v>0.34726166546467824</c:v>
                </c:pt>
                <c:pt idx="25">
                  <c:v>0.34725797503812283</c:v>
                </c:pt>
                <c:pt idx="26">
                  <c:v>0.34725212610619788</c:v>
                </c:pt>
                <c:pt idx="27">
                  <c:v>0.3472428561738069</c:v>
                </c:pt>
                <c:pt idx="28">
                  <c:v>0.34722816432106574</c:v>
                </c:pt>
                <c:pt idx="29">
                  <c:v>0.34720487930367167</c:v>
                </c:pt>
                <c:pt idx="30">
                  <c:v>0.34716797503811736</c:v>
                </c:pt>
                <c:pt idx="31">
                  <c:v>0.34710948571886741</c:v>
                </c:pt>
                <c:pt idx="32">
                  <c:v>0.34701678639495631</c:v>
                </c:pt>
                <c:pt idx="33">
                  <c:v>0.34686986786754359</c:v>
                </c:pt>
                <c:pt idx="34">
                  <c:v>0.34663701769360022</c:v>
                </c:pt>
                <c:pt idx="35">
                  <c:v>0.34626797503805334</c:v>
                </c:pt>
                <c:pt idx="36">
                  <c:v>0.34568308184554813</c:v>
                </c:pt>
                <c:pt idx="37">
                  <c:v>0.34475608860642787</c:v>
                </c:pt>
                <c:pt idx="38">
                  <c:v>0.34328690333228579</c:v>
                </c:pt>
                <c:pt idx="39">
                  <c:v>0.34095840159282925</c:v>
                </c:pt>
                <c:pt idx="40">
                  <c:v>0.33726797503732336</c:v>
                </c:pt>
                <c:pt idx="41">
                  <c:v>0.3314190431122126</c:v>
                </c:pt>
                <c:pt idx="42">
                  <c:v>0.32214911072091756</c:v>
                </c:pt>
                <c:pt idx="43">
                  <c:v>0.30745725797934986</c:v>
                </c:pt>
                <c:pt idx="44">
                  <c:v>0.28417224058455171</c:v>
                </c:pt>
                <c:pt idx="45">
                  <c:v>0.24726797502912332</c:v>
                </c:pt>
                <c:pt idx="46">
                  <c:v>0.18877865577743064</c:v>
                </c:pt>
                <c:pt idx="47">
                  <c:v>9.6079331863553552E-2</c:v>
                </c:pt>
                <c:pt idx="48">
                  <c:v>-5.0839195553591621E-2</c:v>
                </c:pt>
                <c:pt idx="49">
                  <c:v>-0.28368936950390178</c:v>
                </c:pt>
                <c:pt idx="50">
                  <c:v>-0.65273202506187533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01-CC45-801D-E0855B4C99FC}"/>
            </c:ext>
          </c:extLst>
        </c:ser>
        <c:ser>
          <c:idx val="3"/>
          <c:order val="2"/>
          <c:tx>
            <c:v>cell2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calc!$H$3:$H$53</c:f>
              <c:numCache>
                <c:formatCode>0.0000</c:formatCode>
                <c:ptCount val="51"/>
                <c:pt idx="0">
                  <c:v>0</c:v>
                </c:pt>
                <c:pt idx="1">
                  <c:v>2.8625737876103011E-2</c:v>
                </c:pt>
                <c:pt idx="2">
                  <c:v>5.7251475752206023E-2</c:v>
                </c:pt>
                <c:pt idx="3">
                  <c:v>8.5877213628309038E-2</c:v>
                </c:pt>
                <c:pt idx="4">
                  <c:v>0.11450295150441205</c:v>
                </c:pt>
                <c:pt idx="5">
                  <c:v>0.14312868938051507</c:v>
                </c:pt>
                <c:pt idx="6">
                  <c:v>0.17175442725661808</c:v>
                </c:pt>
                <c:pt idx="7">
                  <c:v>0.20038016513272111</c:v>
                </c:pt>
                <c:pt idx="8">
                  <c:v>0.22900590300882409</c:v>
                </c:pt>
                <c:pt idx="9">
                  <c:v>0.25763164088492713</c:v>
                </c:pt>
                <c:pt idx="10">
                  <c:v>0.28625737876103013</c:v>
                </c:pt>
                <c:pt idx="11">
                  <c:v>0.31488311663713314</c:v>
                </c:pt>
                <c:pt idx="12">
                  <c:v>0.34350885451323615</c:v>
                </c:pt>
                <c:pt idx="13">
                  <c:v>0.37213459238933916</c:v>
                </c:pt>
                <c:pt idx="14">
                  <c:v>0.40076033026544222</c:v>
                </c:pt>
                <c:pt idx="15">
                  <c:v>0.42938606814154517</c:v>
                </c:pt>
                <c:pt idx="16">
                  <c:v>0.45801180601764818</c:v>
                </c:pt>
                <c:pt idx="17">
                  <c:v>0.48663754389375125</c:v>
                </c:pt>
                <c:pt idx="18">
                  <c:v>0.51526328176985425</c:v>
                </c:pt>
                <c:pt idx="19">
                  <c:v>0.54388901964595726</c:v>
                </c:pt>
                <c:pt idx="20">
                  <c:v>0.57251475752206027</c:v>
                </c:pt>
                <c:pt idx="21">
                  <c:v>0.60114049539816328</c:v>
                </c:pt>
                <c:pt idx="22">
                  <c:v>0.62976623327426628</c:v>
                </c:pt>
                <c:pt idx="23">
                  <c:v>0.65839197115036929</c:v>
                </c:pt>
                <c:pt idx="24">
                  <c:v>0.6870177090264723</c:v>
                </c:pt>
                <c:pt idx="25">
                  <c:v>0.71564344690257531</c:v>
                </c:pt>
                <c:pt idx="26">
                  <c:v>0.74426918477867832</c:v>
                </c:pt>
                <c:pt idx="27">
                  <c:v>0.77289492265478144</c:v>
                </c:pt>
                <c:pt idx="28">
                  <c:v>0.80152066053088444</c:v>
                </c:pt>
                <c:pt idx="29">
                  <c:v>0.83014639840698734</c:v>
                </c:pt>
                <c:pt idx="30">
                  <c:v>0.85877213628309035</c:v>
                </c:pt>
                <c:pt idx="31">
                  <c:v>0.88739787415919336</c:v>
                </c:pt>
                <c:pt idx="32">
                  <c:v>0.91602361203529636</c:v>
                </c:pt>
                <c:pt idx="33">
                  <c:v>0.94464934991139948</c:v>
                </c:pt>
                <c:pt idx="34">
                  <c:v>0.97327508778750249</c:v>
                </c:pt>
                <c:pt idx="35">
                  <c:v>1.0019008256636055</c:v>
                </c:pt>
                <c:pt idx="36">
                  <c:v>1.0305265635397085</c:v>
                </c:pt>
                <c:pt idx="37">
                  <c:v>1.0591523014158115</c:v>
                </c:pt>
                <c:pt idx="38">
                  <c:v>1.0877780392919145</c:v>
                </c:pt>
                <c:pt idx="39">
                  <c:v>1.1164037771680175</c:v>
                </c:pt>
                <c:pt idx="40">
                  <c:v>1.1450295150441205</c:v>
                </c:pt>
                <c:pt idx="41">
                  <c:v>1.1736552529202235</c:v>
                </c:pt>
                <c:pt idx="42">
                  <c:v>1.2022809907963266</c:v>
                </c:pt>
                <c:pt idx="43">
                  <c:v>1.2309067286724296</c:v>
                </c:pt>
                <c:pt idx="44">
                  <c:v>1.2595324665485326</c:v>
                </c:pt>
                <c:pt idx="45">
                  <c:v>1.2881582044246356</c:v>
                </c:pt>
                <c:pt idx="46">
                  <c:v>1.3167839423007386</c:v>
                </c:pt>
                <c:pt idx="47">
                  <c:v>1.3454096801768416</c:v>
                </c:pt>
                <c:pt idx="48">
                  <c:v>1.3740354180529446</c:v>
                </c:pt>
                <c:pt idx="49">
                  <c:v>1.4026611559290476</c:v>
                </c:pt>
                <c:pt idx="50">
                  <c:v>1.4312868938051506</c:v>
                </c:pt>
              </c:numCache>
            </c:numRef>
          </c:xVal>
          <c:yVal>
            <c:numRef>
              <c:f>calc!$J$3:$J$53</c:f>
              <c:numCache>
                <c:formatCode>0.0000</c:formatCode>
                <c:ptCount val="51"/>
                <c:pt idx="0">
                  <c:v>1.6527320250618767</c:v>
                </c:pt>
                <c:pt idx="1">
                  <c:v>1.6527320250611388</c:v>
                </c:pt>
                <c:pt idx="2">
                  <c:v>1.6527320250598567</c:v>
                </c:pt>
                <c:pt idx="3">
                  <c:v>1.6527320250576285</c:v>
                </c:pt>
                <c:pt idx="4">
                  <c:v>1.6527320250537565</c:v>
                </c:pt>
                <c:pt idx="5">
                  <c:v>1.6527320250470277</c:v>
                </c:pt>
                <c:pt idx="6">
                  <c:v>1.6527320250353343</c:v>
                </c:pt>
                <c:pt idx="7">
                  <c:v>1.6527320250150137</c:v>
                </c:pt>
                <c:pt idx="8">
                  <c:v>1.6527320249797002</c:v>
                </c:pt>
                <c:pt idx="9">
                  <c:v>1.6527320249183326</c:v>
                </c:pt>
                <c:pt idx="10">
                  <c:v>1.6527320248116881</c:v>
                </c:pt>
                <c:pt idx="11">
                  <c:v>1.6527320246263608</c:v>
                </c:pt>
                <c:pt idx="12">
                  <c:v>1.6527320243042991</c:v>
                </c:pt>
                <c:pt idx="13">
                  <c:v>1.6527320237446199</c:v>
                </c:pt>
                <c:pt idx="14">
                  <c:v>1.652732022772009</c:v>
                </c:pt>
                <c:pt idx="15">
                  <c:v>1.6527320210818051</c:v>
                </c:pt>
                <c:pt idx="16">
                  <c:v>1.652732018144567</c:v>
                </c:pt>
                <c:pt idx="17">
                  <c:v>1.6527320130402323</c:v>
                </c:pt>
                <c:pt idx="18">
                  <c:v>1.6527320041699154</c:v>
                </c:pt>
                <c:pt idx="19">
                  <c:v>1.6527319887550711</c:v>
                </c:pt>
                <c:pt idx="20">
                  <c:v>1.6527319619671421</c:v>
                </c:pt>
                <c:pt idx="21">
                  <c:v>1.652731915415057</c:v>
                </c:pt>
                <c:pt idx="22">
                  <c:v>1.6527318345168049</c:v>
                </c:pt>
                <c:pt idx="23">
                  <c:v>1.6527316939317551</c:v>
                </c:pt>
                <c:pt idx="24">
                  <c:v>1.6527314496229393</c:v>
                </c:pt>
                <c:pt idx="25">
                  <c:v>1.6527310250628766</c:v>
                </c:pt>
                <c:pt idx="26">
                  <c:v>1.652730287262048</c:v>
                </c:pt>
                <c:pt idx="27">
                  <c:v>1.6527290051111563</c:v>
                </c:pt>
                <c:pt idx="28">
                  <c:v>1.6527267769882741</c:v>
                </c:pt>
                <c:pt idx="29">
                  <c:v>1.6527229049544832</c:v>
                </c:pt>
                <c:pt idx="30">
                  <c:v>1.6527161761309521</c:v>
                </c:pt>
                <c:pt idx="31">
                  <c:v>1.6527044827758433</c:v>
                </c:pt>
                <c:pt idx="32">
                  <c:v>1.6526841620536443</c:v>
                </c:pt>
                <c:pt idx="33">
                  <c:v>1.6526488486857664</c:v>
                </c:pt>
                <c:pt idx="34">
                  <c:v>1.6525874810858019</c:v>
                </c:pt>
                <c:pt idx="35">
                  <c:v>1.6524808364197254</c:v>
                </c:pt>
                <c:pt idx="36">
                  <c:v>1.6522955092306362</c:v>
                </c:pt>
                <c:pt idx="37">
                  <c:v>1.6519734474878469</c:v>
                </c:pt>
                <c:pt idx="38">
                  <c:v>1.6514137683243193</c:v>
                </c:pt>
                <c:pt idx="39">
                  <c:v>1.650441157410107</c:v>
                </c:pt>
                <c:pt idx="40">
                  <c:v>1.6487509533573386</c:v>
                </c:pt>
                <c:pt idx="41">
                  <c:v>1.6458137153536816</c:v>
                </c:pt>
                <c:pt idx="42">
                  <c:v>1.6407093807166924</c:v>
                </c:pt>
                <c:pt idx="43">
                  <c:v>1.6318390637543183</c:v>
                </c:pt>
                <c:pt idx="44">
                  <c:v>1.6164242195858345</c:v>
                </c:pt>
                <c:pt idx="45">
                  <c:v>1.5896362906148005</c:v>
                </c:pt>
                <c:pt idx="46">
                  <c:v>1.5430842054484573</c:v>
                </c:pt>
                <c:pt idx="47">
                  <c:v>1.4621859532663728</c:v>
                </c:pt>
                <c:pt idx="48">
                  <c:v>1.3216009035799667</c:v>
                </c:pt>
                <c:pt idx="49">
                  <c:v>1.0772920877251546</c:v>
                </c:pt>
                <c:pt idx="50">
                  <c:v>0.65273202506187578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01-CC45-801D-E0855B4C99FC}"/>
            </c:ext>
          </c:extLst>
        </c:ser>
        <c:ser>
          <c:idx val="1"/>
          <c:order val="3"/>
          <c:tx>
            <c:v>Pmax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tandem!$C$21</c:f>
              <c:numCache>
                <c:formatCode>0.000000</c:formatCode>
                <c:ptCount val="1"/>
                <c:pt idx="0">
                  <c:v>0</c:v>
                </c:pt>
              </c:numCache>
            </c:numRef>
          </c:xVal>
          <c:yVal>
            <c:numRef>
              <c:f>tandem!$C$22</c:f>
              <c:numCache>
                <c:formatCode>0.000000</c:formatCode>
                <c:ptCount val="1"/>
                <c:pt idx="0">
                  <c:v>0.95819607498662995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13-CC45-993C-B415932313D5}"/>
            </c:ext>
          </c:extLst>
        </c:ser>
        <c:ser>
          <c:idx val="4"/>
          <c:order val="4"/>
          <c:tx>
            <c:v>P1max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5"/>
              </a:solidFill>
              <a:ln w="9525">
                <a:noFill/>
              </a:ln>
              <a:effectLst/>
            </c:spPr>
          </c:marker>
          <c:xVal>
            <c:numRef>
              <c:f>tandem!$F$7</c:f>
              <c:numCache>
                <c:formatCode>0.0000</c:formatCode>
                <c:ptCount val="1"/>
                <c:pt idx="0">
                  <c:v>0</c:v>
                </c:pt>
              </c:numCache>
            </c:numRef>
          </c:xVal>
          <c:yVal>
            <c:numRef>
              <c:f>tandem!$F$8</c:f>
              <c:numCache>
                <c:formatCode>0.0000</c:formatCode>
                <c:ptCount val="1"/>
                <c:pt idx="0">
                  <c:v>0.95234021749402964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01-CC45-801D-E0855B4C99FC}"/>
            </c:ext>
          </c:extLst>
        </c:ser>
        <c:ser>
          <c:idx val="5"/>
          <c:order val="5"/>
          <c:tx>
            <c:v>P2max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xVal>
            <c:numRef>
              <c:f>tandem!$F$14</c:f>
              <c:numCache>
                <c:formatCode>0.0000</c:formatCode>
                <c:ptCount val="1"/>
                <c:pt idx="0">
                  <c:v>1.4122237815950631</c:v>
                </c:pt>
              </c:numCache>
            </c:numRef>
          </c:xVal>
          <c:yVal>
            <c:numRef>
              <c:f>tandem!$F$15</c:f>
              <c:numCache>
                <c:formatCode>0.0000</c:formatCode>
                <c:ptCount val="1"/>
                <c:pt idx="0">
                  <c:v>0.96062435938599822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01-CC45-801D-E0855B4C9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8919087"/>
        <c:axId val="1308920815"/>
      </c:scatterChart>
      <c:valAx>
        <c:axId val="130891908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aseline="0"/>
                  <a:t>V (V)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920815"/>
        <c:crosses val="autoZero"/>
        <c:crossBetween val="midCat"/>
      </c:valAx>
      <c:valAx>
        <c:axId val="1308920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aseline="0"/>
                  <a:t>I (mA)</a:t>
                </a:r>
              </a:p>
              <a:p>
                <a:pPr>
                  <a:defRPr sz="1400"/>
                </a:pPr>
                <a:endParaRPr lang="en-US" sz="1400" baseline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9190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E$23" lockText="1" noThreeD="1"/>
</file>

<file path=xl/ctrlProps/ctrlProp3.xml><?xml version="1.0" encoding="utf-8"?>
<formControlPr xmlns="http://schemas.microsoft.com/office/spreadsheetml/2009/9/main" objectType="CheckBox" checked="Checked" fmlaLink="$O$11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520700</xdr:colOff>
      <xdr:row>26</xdr:row>
      <xdr:rowOff>152400</xdr:rowOff>
    </xdr:from>
    <xdr:to>
      <xdr:col>6</xdr:col>
      <xdr:colOff>368300</xdr:colOff>
      <xdr:row>41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21</xdr:row>
          <xdr:rowOff>101600</xdr:rowOff>
        </xdr:from>
        <xdr:to>
          <xdr:col>5</xdr:col>
          <xdr:colOff>406400</xdr:colOff>
          <xdr:row>23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457200</xdr:colOff>
          <xdr:row>21</xdr:row>
          <xdr:rowOff>139700</xdr:rowOff>
        </xdr:from>
        <xdr:to>
          <xdr:col>8</xdr:col>
          <xdr:colOff>50800</xdr:colOff>
          <xdr:row>23</xdr:row>
          <xdr:rowOff>114300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confirm progress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</xdr:row>
          <xdr:rowOff>101600</xdr:rowOff>
        </xdr:from>
        <xdr:to>
          <xdr:col>5</xdr:col>
          <xdr:colOff>774700</xdr:colOff>
          <xdr:row>5</xdr:row>
          <xdr:rowOff>76200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1560" b="0" i="0" u="none" strike="noStrike" baseline="0">
                  <a:solidFill>
                    <a:srgbClr val="000000"/>
                  </a:solidFill>
                  <a:latin typeface="Aptos Narrow" charset="0"/>
                </a:rPr>
                <a:t>optimize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74093-DF6B-F344-A215-BF7E4431A2FB}">
  <sheetPr codeName="Sheet1"/>
  <dimension ref="A1:AP112"/>
  <sheetViews>
    <sheetView tabSelected="1" zoomScale="110" zoomScaleNormal="110" workbookViewId="0">
      <selection activeCell="C14" sqref="C14"/>
    </sheetView>
  </sheetViews>
  <sheetFormatPr baseColWidth="10" defaultRowHeight="16" x14ac:dyDescent="0.2"/>
  <cols>
    <col min="3" max="3" width="16" customWidth="1"/>
    <col min="4" max="4" width="24.5" customWidth="1"/>
    <col min="8" max="8" width="3.6640625" customWidth="1"/>
    <col min="11" max="11" width="5" customWidth="1"/>
  </cols>
  <sheetData>
    <row r="1" spans="1:42" ht="17" thickBot="1" x14ac:dyDescent="0.25"/>
    <row r="2" spans="1:42" x14ac:dyDescent="0.2">
      <c r="I2" s="11" t="s">
        <v>49</v>
      </c>
      <c r="J2" s="12"/>
      <c r="K2" s="12"/>
      <c r="L2" s="12"/>
      <c r="M2" s="13"/>
    </row>
    <row r="3" spans="1:42" x14ac:dyDescent="0.2">
      <c r="B3" t="s">
        <v>0</v>
      </c>
      <c r="C3" s="23">
        <v>2</v>
      </c>
      <c r="D3" t="s">
        <v>56</v>
      </c>
      <c r="I3" s="14" t="s">
        <v>0</v>
      </c>
      <c r="J3" s="9">
        <v>2</v>
      </c>
      <c r="L3" t="s">
        <v>56</v>
      </c>
      <c r="M3" s="15"/>
    </row>
    <row r="4" spans="1:42" x14ac:dyDescent="0.2">
      <c r="B4" t="s">
        <v>1</v>
      </c>
      <c r="C4" s="26">
        <v>2.5899999999999999E-2</v>
      </c>
      <c r="D4" t="s">
        <v>57</v>
      </c>
      <c r="I4" s="14" t="s">
        <v>1</v>
      </c>
      <c r="J4" s="9">
        <v>2.5899999999999999E-2</v>
      </c>
      <c r="L4" t="s">
        <v>57</v>
      </c>
      <c r="M4" s="15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</row>
    <row r="5" spans="1:42" x14ac:dyDescent="0.2">
      <c r="B5" t="s">
        <v>12</v>
      </c>
      <c r="C5" s="25">
        <f>f_calc</f>
        <v>0.82636601253093833</v>
      </c>
      <c r="D5" t="s">
        <v>63</v>
      </c>
      <c r="I5" s="14" t="s">
        <v>9</v>
      </c>
      <c r="J5" s="9">
        <v>1</v>
      </c>
      <c r="L5" t="s">
        <v>58</v>
      </c>
      <c r="M5" s="15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</row>
    <row r="6" spans="1:42" x14ac:dyDescent="0.2">
      <c r="I6" s="14" t="s">
        <v>6</v>
      </c>
      <c r="J6" s="10">
        <v>1E-10</v>
      </c>
      <c r="L6" t="s">
        <v>59</v>
      </c>
      <c r="M6" s="15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</row>
    <row r="7" spans="1:42" x14ac:dyDescent="0.2">
      <c r="A7" t="s">
        <v>27</v>
      </c>
      <c r="B7" t="s">
        <v>9</v>
      </c>
      <c r="C7" s="27">
        <v>1</v>
      </c>
      <c r="D7" t="s">
        <v>64</v>
      </c>
      <c r="E7" t="s">
        <v>28</v>
      </c>
      <c r="F7" s="2" t="e">
        <f>C7*C4*LN((C9-F8)/C8+1)</f>
        <v>#NUM!</v>
      </c>
      <c r="I7" s="14" t="s">
        <v>10</v>
      </c>
      <c r="J7" s="9">
        <v>2</v>
      </c>
      <c r="L7" t="s">
        <v>60</v>
      </c>
      <c r="M7" s="15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</row>
    <row r="8" spans="1:42" ht="17" thickBot="1" x14ac:dyDescent="0.25">
      <c r="B8" t="s">
        <v>6</v>
      </c>
      <c r="C8" s="28">
        <v>1E-10</v>
      </c>
      <c r="D8" t="s">
        <v>65</v>
      </c>
      <c r="E8" t="s">
        <v>29</v>
      </c>
      <c r="F8" s="2">
        <v>0.95234021749402964</v>
      </c>
      <c r="I8" s="16" t="s">
        <v>7</v>
      </c>
      <c r="J8" s="17">
        <v>9.9999999999999998E-13</v>
      </c>
      <c r="K8" s="18"/>
      <c r="L8" s="18" t="s">
        <v>61</v>
      </c>
      <c r="M8" s="19"/>
      <c r="N8" s="20"/>
      <c r="O8" s="20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</row>
    <row r="9" spans="1:42" x14ac:dyDescent="0.2">
      <c r="B9" t="s">
        <v>2</v>
      </c>
      <c r="C9" s="24">
        <f>(1-C5)*C3</f>
        <v>0.34726797493812334</v>
      </c>
      <c r="E9" t="s">
        <v>30</v>
      </c>
      <c r="F9" s="2" t="e">
        <f>F7*F8</f>
        <v>#NUM!</v>
      </c>
      <c r="I9" s="14" t="s">
        <v>12</v>
      </c>
      <c r="J9" s="21">
        <v>0.5</v>
      </c>
      <c r="L9" t="s">
        <v>63</v>
      </c>
      <c r="N9" s="20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</row>
    <row r="10" spans="1:42" x14ac:dyDescent="0.2">
      <c r="B10" t="s">
        <v>4</v>
      </c>
      <c r="C10" s="7" t="e">
        <f>C7*C4*LN((C9-C22)/C8+1)</f>
        <v>#NUM!</v>
      </c>
      <c r="E10" t="s">
        <v>37</v>
      </c>
      <c r="F10" s="2">
        <f>C7*C4*LN((C9-0)/C8+1)</f>
        <v>0.56897618303624309</v>
      </c>
      <c r="N10" s="20"/>
      <c r="O10" s="20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</row>
    <row r="11" spans="1:42" x14ac:dyDescent="0.2">
      <c r="B11" t="s">
        <v>47</v>
      </c>
      <c r="C11" s="2" t="e">
        <f>C10*C22</f>
        <v>#NUM!</v>
      </c>
      <c r="E11" t="s">
        <v>38</v>
      </c>
      <c r="F11" s="2">
        <f>C9</f>
        <v>0.34726797493812334</v>
      </c>
      <c r="N11" s="20"/>
      <c r="O11" s="20" t="b">
        <v>1</v>
      </c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</row>
    <row r="12" spans="1:42" x14ac:dyDescent="0.2">
      <c r="C12" s="1"/>
      <c r="N12" s="20"/>
      <c r="O12" s="20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</row>
    <row r="13" spans="1:42" x14ac:dyDescent="0.2">
      <c r="C13" s="1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</row>
    <row r="14" spans="1:42" x14ac:dyDescent="0.2">
      <c r="A14" t="s">
        <v>33</v>
      </c>
      <c r="B14" t="s">
        <v>10</v>
      </c>
      <c r="C14" s="22">
        <v>2</v>
      </c>
      <c r="D14" t="s">
        <v>64</v>
      </c>
      <c r="E14" t="s">
        <v>32</v>
      </c>
      <c r="F14" s="2">
        <f>C14*C4*LN((C16-F15)/C15+1)</f>
        <v>1.4122237815950631</v>
      </c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</row>
    <row r="15" spans="1:42" x14ac:dyDescent="0.2">
      <c r="B15" t="s">
        <v>7</v>
      </c>
      <c r="C15" s="29">
        <v>9.9999999999999998E-13</v>
      </c>
      <c r="D15" t="s">
        <v>65</v>
      </c>
      <c r="E15" t="s">
        <v>34</v>
      </c>
      <c r="F15" s="2">
        <v>0.96062435938599822</v>
      </c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</row>
    <row r="16" spans="1:42" x14ac:dyDescent="0.2">
      <c r="B16" t="s">
        <v>3</v>
      </c>
      <c r="C16" s="24">
        <f>C5*C3</f>
        <v>1.6527320250618767</v>
      </c>
      <c r="E16" t="s">
        <v>35</v>
      </c>
      <c r="F16" s="2">
        <f>F14*F15</f>
        <v>1.3566165655044293</v>
      </c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</row>
    <row r="17" spans="2:42" x14ac:dyDescent="0.2">
      <c r="B17" t="s">
        <v>5</v>
      </c>
      <c r="C17" s="7">
        <f>C14*C4*LN((C16-C22)/C15+1)</f>
        <v>1.4124052056596745</v>
      </c>
      <c r="E17" t="s">
        <v>39</v>
      </c>
      <c r="F17" s="2">
        <f>C14*C4*LN((C16-0)/C15+1)</f>
        <v>1.4573127518194848</v>
      </c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</row>
    <row r="18" spans="2:42" x14ac:dyDescent="0.2">
      <c r="B18" t="s">
        <v>48</v>
      </c>
      <c r="C18">
        <f>C17*C22</f>
        <v>1.353361124353784</v>
      </c>
      <c r="E18" t="s">
        <v>40</v>
      </c>
      <c r="F18" s="2">
        <f>C16</f>
        <v>1.6527320250618767</v>
      </c>
    </row>
    <row r="19" spans="2:42" x14ac:dyDescent="0.2"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</row>
    <row r="20" spans="2:42" x14ac:dyDescent="0.2">
      <c r="B20" t="s">
        <v>62</v>
      </c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</row>
    <row r="21" spans="2:42" x14ac:dyDescent="0.2">
      <c r="B21" t="s">
        <v>25</v>
      </c>
      <c r="C21" s="7" t="e">
        <f>C10+C17</f>
        <v>#NUM!</v>
      </c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</row>
    <row r="22" spans="2:42" x14ac:dyDescent="0.2">
      <c r="B22" t="s">
        <v>26</v>
      </c>
      <c r="C22" s="7">
        <v>0.95819607498662995</v>
      </c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</row>
    <row r="23" spans="2:42" x14ac:dyDescent="0.2">
      <c r="B23" t="s">
        <v>31</v>
      </c>
      <c r="C23" s="8" t="e">
        <f>C22*C21</f>
        <v>#NUM!</v>
      </c>
      <c r="E23" t="b">
        <v>0</v>
      </c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</row>
    <row r="24" spans="2:42" x14ac:dyDescent="0.2"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</row>
    <row r="25" spans="2:42" ht="19" x14ac:dyDescent="0.25">
      <c r="B25" t="s">
        <v>20</v>
      </c>
      <c r="C25" s="7">
        <f>C7*C4*LN((C9-0)/C8+1)+C14*C4*LN((C16-0)/C15+1)</f>
        <v>2.026288934855728</v>
      </c>
      <c r="E25" s="6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</row>
    <row r="26" spans="2:42" x14ac:dyDescent="0.2">
      <c r="B26" t="s">
        <v>18</v>
      </c>
      <c r="C26" s="7">
        <f>F28</f>
        <v>0.34726797503812334</v>
      </c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</row>
    <row r="27" spans="2:42" x14ac:dyDescent="0.2">
      <c r="B27" s="1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</row>
    <row r="28" spans="2:42" x14ac:dyDescent="0.2">
      <c r="E28" t="s">
        <v>21</v>
      </c>
      <c r="F28" s="2">
        <f>Ip_1_mA-I0_1_mA*(EXP(u/n_1)-1)</f>
        <v>0.34726797503812334</v>
      </c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</row>
    <row r="29" spans="2:42" x14ac:dyDescent="0.2">
      <c r="E29" t="s">
        <v>22</v>
      </c>
      <c r="F29" s="2">
        <f>Ip_2_mA-I0_2_mA*(EXP(-u/n_2)-1)</f>
        <v>1.6520834382402492</v>
      </c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</row>
    <row r="30" spans="2:42" x14ac:dyDescent="0.2">
      <c r="D30" t="s">
        <v>24</v>
      </c>
      <c r="E30" t="s">
        <v>19</v>
      </c>
      <c r="F30" s="2">
        <v>-40.580612869982517</v>
      </c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</row>
    <row r="31" spans="2:42" x14ac:dyDescent="0.2">
      <c r="E31" t="s">
        <v>23</v>
      </c>
      <c r="F31" s="2">
        <f>tandem!F28-tandem!F29</f>
        <v>-1.3048154632021258</v>
      </c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</row>
    <row r="32" spans="2:42" x14ac:dyDescent="0.2"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</row>
    <row r="33" spans="2:42" x14ac:dyDescent="0.2"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</row>
    <row r="34" spans="2:42" x14ac:dyDescent="0.2"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</row>
    <row r="35" spans="2:42" x14ac:dyDescent="0.2"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</row>
    <row r="36" spans="2:42" x14ac:dyDescent="0.2">
      <c r="C36" s="7"/>
      <c r="H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</row>
    <row r="37" spans="2:42" x14ac:dyDescent="0.2">
      <c r="C37" s="4"/>
      <c r="H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</row>
    <row r="38" spans="2:42" x14ac:dyDescent="0.2">
      <c r="H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</row>
    <row r="39" spans="2:42" x14ac:dyDescent="0.2">
      <c r="C39" s="7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</row>
    <row r="40" spans="2:42" x14ac:dyDescent="0.2">
      <c r="C40" s="4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</row>
    <row r="41" spans="2:42" x14ac:dyDescent="0.2"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</row>
    <row r="42" spans="2:42" x14ac:dyDescent="0.2">
      <c r="C42" s="3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</row>
    <row r="43" spans="2:42" x14ac:dyDescent="0.2"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</row>
    <row r="44" spans="2:42" x14ac:dyDescent="0.2">
      <c r="B44" t="s">
        <v>11</v>
      </c>
      <c r="C44">
        <f>tandem!C7+tandem!C14</f>
        <v>3</v>
      </c>
      <c r="E44" t="s">
        <v>50</v>
      </c>
      <c r="F44" s="1">
        <f>C55+C57+C58</f>
        <v>1.3333333333996666</v>
      </c>
      <c r="H44" s="1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</row>
    <row r="45" spans="2:42" x14ac:dyDescent="0.2">
      <c r="B45" t="s">
        <v>54</v>
      </c>
      <c r="C45">
        <f>tandem!C7/C44</f>
        <v>0.33333333333333331</v>
      </c>
      <c r="E45" t="s">
        <v>51</v>
      </c>
      <c r="F45" s="1">
        <f>C48+C50+C51</f>
        <v>0.66666666660033336</v>
      </c>
      <c r="H45" s="1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</row>
    <row r="46" spans="2:42" x14ac:dyDescent="0.2">
      <c r="B46" t="s">
        <v>55</v>
      </c>
      <c r="C46">
        <f>tandem!C14/C44</f>
        <v>0.66666666666666663</v>
      </c>
      <c r="E46" t="s">
        <v>52</v>
      </c>
      <c r="F46" s="3">
        <f>B56</f>
        <v>0.33333333333333331</v>
      </c>
      <c r="H46" s="1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</row>
    <row r="47" spans="2:42" x14ac:dyDescent="0.2">
      <c r="E47" t="s">
        <v>53</v>
      </c>
      <c r="H47" s="1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</row>
    <row r="48" spans="2:42" x14ac:dyDescent="0.2">
      <c r="B48">
        <f>1-B55</f>
        <v>0.33333333333333337</v>
      </c>
      <c r="C48">
        <f>B48*tandem!C3</f>
        <v>0.66666666666666674</v>
      </c>
      <c r="H48" s="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</row>
    <row r="49" spans="2:39" x14ac:dyDescent="0.2">
      <c r="B49">
        <f t="shared" ref="B49:C51" si="0">-B56</f>
        <v>-0.33333333333333331</v>
      </c>
      <c r="C49" s="3">
        <f t="shared" si="0"/>
        <v>-0.31939869166220997</v>
      </c>
      <c r="H49" s="1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</row>
    <row r="50" spans="2:39" x14ac:dyDescent="0.2">
      <c r="B50">
        <f t="shared" si="0"/>
        <v>-0.66666666666666663</v>
      </c>
      <c r="C50" s="1">
        <f t="shared" si="0"/>
        <v>-6.6666666666666669E-11</v>
      </c>
      <c r="H50" s="1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</row>
    <row r="51" spans="2:39" x14ac:dyDescent="0.2">
      <c r="B51">
        <f t="shared" si="0"/>
        <v>0.33333333333333331</v>
      </c>
      <c r="C51" s="1">
        <f t="shared" si="0"/>
        <v>3.3333333333333329E-13</v>
      </c>
      <c r="H51" s="1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</row>
    <row r="52" spans="2:39" x14ac:dyDescent="0.2">
      <c r="B52" t="s">
        <v>14</v>
      </c>
      <c r="C52">
        <f>SUM(C48:C51)</f>
        <v>0.34726797493812345</v>
      </c>
      <c r="H52" s="1"/>
    </row>
    <row r="53" spans="2:39" x14ac:dyDescent="0.2">
      <c r="B53" s="1" t="s">
        <v>13</v>
      </c>
      <c r="C53" s="4">
        <f>1-C60</f>
        <v>0.17363398746906167</v>
      </c>
      <c r="H53" s="1"/>
    </row>
    <row r="54" spans="2:39" x14ac:dyDescent="0.2">
      <c r="H54" s="1"/>
    </row>
    <row r="55" spans="2:39" x14ac:dyDescent="0.2">
      <c r="B55">
        <f>C46</f>
        <v>0.66666666666666663</v>
      </c>
      <c r="C55">
        <f>B55*Ip_mA</f>
        <v>1.3333333333333333</v>
      </c>
      <c r="H55" s="1"/>
    </row>
    <row r="56" spans="2:39" x14ac:dyDescent="0.2">
      <c r="B56">
        <f>C46-C45</f>
        <v>0.33333333333333331</v>
      </c>
      <c r="C56" s="3">
        <f>B56*Im_mA</f>
        <v>0.31939869166220997</v>
      </c>
      <c r="H56" s="1"/>
    </row>
    <row r="57" spans="2:39" x14ac:dyDescent="0.2">
      <c r="B57">
        <f>C46</f>
        <v>0.66666666666666663</v>
      </c>
      <c r="C57" s="1">
        <f>B57*I0_1_mA</f>
        <v>6.6666666666666669E-11</v>
      </c>
      <c r="H57" s="1"/>
    </row>
    <row r="58" spans="2:39" x14ac:dyDescent="0.2">
      <c r="B58">
        <f>-C45</f>
        <v>-0.33333333333333331</v>
      </c>
      <c r="C58" s="1">
        <f>B58*I0_2_mA</f>
        <v>-3.3333333333333329E-13</v>
      </c>
      <c r="H58" s="1"/>
    </row>
    <row r="59" spans="2:39" x14ac:dyDescent="0.2">
      <c r="B59" t="s">
        <v>15</v>
      </c>
      <c r="C59">
        <f>SUM(C55:C58)</f>
        <v>1.6527320250618767</v>
      </c>
      <c r="H59" s="1"/>
    </row>
    <row r="60" spans="2:39" x14ac:dyDescent="0.2">
      <c r="B60" s="1" t="s">
        <v>12</v>
      </c>
      <c r="C60" s="4">
        <f>C59/Ip_mA</f>
        <v>0.82636601253093833</v>
      </c>
      <c r="H60" s="1"/>
    </row>
    <row r="61" spans="2:39" x14ac:dyDescent="0.2">
      <c r="H61" s="1"/>
    </row>
    <row r="62" spans="2:39" x14ac:dyDescent="0.2">
      <c r="H62" s="1"/>
    </row>
    <row r="63" spans="2:39" x14ac:dyDescent="0.2">
      <c r="H63" s="1"/>
    </row>
    <row r="64" spans="2:39" x14ac:dyDescent="0.2">
      <c r="H64" s="1"/>
    </row>
    <row r="65" spans="8:8" x14ac:dyDescent="0.2">
      <c r="H65" s="1"/>
    </row>
    <row r="66" spans="8:8" x14ac:dyDescent="0.2">
      <c r="H66" s="1"/>
    </row>
    <row r="67" spans="8:8" x14ac:dyDescent="0.2">
      <c r="H67" s="1"/>
    </row>
    <row r="68" spans="8:8" x14ac:dyDescent="0.2">
      <c r="H68" s="1"/>
    </row>
    <row r="69" spans="8:8" x14ac:dyDescent="0.2">
      <c r="H69" s="1"/>
    </row>
    <row r="70" spans="8:8" x14ac:dyDescent="0.2">
      <c r="H70" s="1"/>
    </row>
    <row r="71" spans="8:8" x14ac:dyDescent="0.2">
      <c r="H71" s="1"/>
    </row>
    <row r="72" spans="8:8" x14ac:dyDescent="0.2">
      <c r="H72" s="1"/>
    </row>
    <row r="73" spans="8:8" x14ac:dyDescent="0.2">
      <c r="H73" s="1"/>
    </row>
    <row r="74" spans="8:8" x14ac:dyDescent="0.2">
      <c r="H74" s="1"/>
    </row>
    <row r="75" spans="8:8" x14ac:dyDescent="0.2">
      <c r="H75" s="1"/>
    </row>
    <row r="76" spans="8:8" x14ac:dyDescent="0.2">
      <c r="H76" s="1"/>
    </row>
    <row r="77" spans="8:8" x14ac:dyDescent="0.2">
      <c r="H77" s="1"/>
    </row>
    <row r="78" spans="8:8" x14ac:dyDescent="0.2">
      <c r="H78" s="1"/>
    </row>
    <row r="79" spans="8:8" x14ac:dyDescent="0.2">
      <c r="H79" s="1"/>
    </row>
    <row r="80" spans="8:8" x14ac:dyDescent="0.2">
      <c r="H80" s="1"/>
    </row>
    <row r="81" spans="8:8" x14ac:dyDescent="0.2">
      <c r="H81" s="1"/>
    </row>
    <row r="82" spans="8:8" x14ac:dyDescent="0.2">
      <c r="H82" s="1"/>
    </row>
    <row r="83" spans="8:8" x14ac:dyDescent="0.2">
      <c r="H83" s="1"/>
    </row>
    <row r="84" spans="8:8" x14ac:dyDescent="0.2">
      <c r="H84" s="1"/>
    </row>
    <row r="85" spans="8:8" x14ac:dyDescent="0.2">
      <c r="H85" s="1"/>
    </row>
    <row r="86" spans="8:8" x14ac:dyDescent="0.2">
      <c r="H86" s="1"/>
    </row>
    <row r="87" spans="8:8" x14ac:dyDescent="0.2">
      <c r="H87" s="1"/>
    </row>
    <row r="88" spans="8:8" x14ac:dyDescent="0.2">
      <c r="H88" s="1"/>
    </row>
    <row r="89" spans="8:8" x14ac:dyDescent="0.2">
      <c r="H89" s="1"/>
    </row>
    <row r="90" spans="8:8" x14ac:dyDescent="0.2">
      <c r="H90" s="1"/>
    </row>
    <row r="91" spans="8:8" x14ac:dyDescent="0.2">
      <c r="H91" s="1"/>
    </row>
    <row r="92" spans="8:8" x14ac:dyDescent="0.2">
      <c r="H92" s="1"/>
    </row>
    <row r="93" spans="8:8" x14ac:dyDescent="0.2">
      <c r="H93" s="1"/>
    </row>
    <row r="94" spans="8:8" x14ac:dyDescent="0.2">
      <c r="H94" s="1"/>
    </row>
    <row r="95" spans="8:8" x14ac:dyDescent="0.2">
      <c r="H95" s="1"/>
    </row>
    <row r="96" spans="8:8" x14ac:dyDescent="0.2">
      <c r="H96" s="1"/>
    </row>
    <row r="97" spans="8:8" x14ac:dyDescent="0.2">
      <c r="H97" s="1"/>
    </row>
    <row r="98" spans="8:8" x14ac:dyDescent="0.2">
      <c r="H98" s="1"/>
    </row>
    <row r="99" spans="8:8" x14ac:dyDescent="0.2">
      <c r="H99" s="1"/>
    </row>
    <row r="100" spans="8:8" x14ac:dyDescent="0.2">
      <c r="H100" s="1"/>
    </row>
    <row r="101" spans="8:8" x14ac:dyDescent="0.2">
      <c r="H101" s="1"/>
    </row>
    <row r="102" spans="8:8" x14ac:dyDescent="0.2">
      <c r="H102" s="1"/>
    </row>
    <row r="103" spans="8:8" x14ac:dyDescent="0.2">
      <c r="H103" s="1"/>
    </row>
    <row r="104" spans="8:8" x14ac:dyDescent="0.2">
      <c r="H104" s="1"/>
    </row>
    <row r="105" spans="8:8" x14ac:dyDescent="0.2">
      <c r="H105" s="1"/>
    </row>
    <row r="106" spans="8:8" x14ac:dyDescent="0.2">
      <c r="H106" s="1"/>
    </row>
    <row r="107" spans="8:8" x14ac:dyDescent="0.2">
      <c r="H107" s="1"/>
    </row>
    <row r="108" spans="8:8" x14ac:dyDescent="0.2">
      <c r="H108" s="1"/>
    </row>
    <row r="109" spans="8:8" x14ac:dyDescent="0.2">
      <c r="H109" s="1"/>
    </row>
    <row r="110" spans="8:8" x14ac:dyDescent="0.2">
      <c r="H110" s="1"/>
    </row>
    <row r="111" spans="8:8" x14ac:dyDescent="0.2">
      <c r="H111" s="1"/>
    </row>
    <row r="112" spans="8:8" x14ac:dyDescent="0.2">
      <c r="H112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ThisWorkbook.SolveAll">
                <anchor moveWithCells="1" sizeWithCells="1">
                  <from>
                    <xdr:col>3</xdr:col>
                    <xdr:colOff>533400</xdr:colOff>
                    <xdr:row>21</xdr:row>
                    <xdr:rowOff>101600</xdr:rowOff>
                  </from>
                  <to>
                    <xdr:col>5</xdr:col>
                    <xdr:colOff>406400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Check Box 6">
              <controlPr defaultSize="0" autoFill="0" autoLine="0" autoPict="0">
                <anchor moveWithCells="1">
                  <from>
                    <xdr:col>5</xdr:col>
                    <xdr:colOff>457200</xdr:colOff>
                    <xdr:row>21</xdr:row>
                    <xdr:rowOff>139700</xdr:rowOff>
                  </from>
                  <to>
                    <xdr:col>8</xdr:col>
                    <xdr:colOff>50800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Check Box 8">
              <controlPr defaultSize="0" autoFill="0" autoLine="0" autoPict="0" macro="[0]!ThisWorkbook.Set_f">
                <anchor moveWithCells="1">
                  <from>
                    <xdr:col>4</xdr:col>
                    <xdr:colOff>76200</xdr:colOff>
                    <xdr:row>3</xdr:row>
                    <xdr:rowOff>101600</xdr:rowOff>
                  </from>
                  <to>
                    <xdr:col>5</xdr:col>
                    <xdr:colOff>774700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F09F9-D68D-C642-B0B4-5ECEA2F1AB51}">
  <sheetPr codeName="Sheet3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9F263-E8BD-2B4E-A975-4625FC0D5055}">
  <sheetPr codeName="Sheet2"/>
  <dimension ref="A2:M111"/>
  <sheetViews>
    <sheetView workbookViewId="0">
      <selection activeCell="L20" sqref="L20"/>
    </sheetView>
  </sheetViews>
  <sheetFormatPr baseColWidth="10" defaultRowHeight="16" x14ac:dyDescent="0.2"/>
  <cols>
    <col min="1" max="1" width="12.1640625" bestFit="1" customWidth="1"/>
    <col min="6" max="6" width="10.1640625" customWidth="1"/>
  </cols>
  <sheetData>
    <row r="2" spans="1:10" x14ac:dyDescent="0.2">
      <c r="C2" t="s">
        <v>8</v>
      </c>
      <c r="D2" t="s">
        <v>4</v>
      </c>
      <c r="E2" t="s">
        <v>17</v>
      </c>
      <c r="F2" t="s">
        <v>16</v>
      </c>
      <c r="G2" t="s">
        <v>42</v>
      </c>
      <c r="H2" t="s">
        <v>43</v>
      </c>
      <c r="I2" s="2" t="s">
        <v>36</v>
      </c>
      <c r="J2" t="s">
        <v>41</v>
      </c>
    </row>
    <row r="3" spans="1:10" x14ac:dyDescent="0.2">
      <c r="A3">
        <v>0</v>
      </c>
      <c r="B3">
        <f t="shared" ref="B3:B34" si="0">1-(EXP(A3)-1)/(EXP(1)-1)</f>
        <v>1</v>
      </c>
      <c r="C3" s="2">
        <f>B3*M$27</f>
        <v>1.0000000001</v>
      </c>
      <c r="D3" s="2" t="e">
        <f>tandem!C$7*tandem!C$4*LN((M$28-C3)/tandem!C$8+1)</f>
        <v>#NUM!</v>
      </c>
      <c r="E3" s="2" t="e">
        <f>tandem!C$14*tandem!C$4*LN((M$29-C3)/tandem!C$15+1)</f>
        <v>#NUM!</v>
      </c>
      <c r="F3" s="2">
        <v>0</v>
      </c>
      <c r="G3" s="2">
        <f>A3*calc!M$30</f>
        <v>0</v>
      </c>
      <c r="H3" s="2">
        <f>A3*calc!M$31</f>
        <v>0</v>
      </c>
      <c r="I3" s="2">
        <f>tandem!C$9-tandem!C$8*(EXP(G3/tandem!C$7/tandem!C$4)-1)</f>
        <v>0.34726797493812334</v>
      </c>
      <c r="J3" s="2">
        <f>tandem!C$16-tandem!C$15*(EXP(H3/tandem!C$14/tandem!C$4)-1)</f>
        <v>1.6527320250618767</v>
      </c>
    </row>
    <row r="4" spans="1:10" x14ac:dyDescent="0.2">
      <c r="A4">
        <v>0.02</v>
      </c>
      <c r="B4">
        <f t="shared" si="0"/>
        <v>0.98824329065688121</v>
      </c>
      <c r="C4" s="2">
        <f t="shared" ref="C4:C53" si="1">B4*M$27</f>
        <v>0.98824329075570549</v>
      </c>
      <c r="D4" s="2">
        <f>tandem!C$7*tandem!C$4*LN((M$28-C4)/tandem!C$8+1)</f>
        <v>0.48128726117821202</v>
      </c>
      <c r="E4" s="2">
        <f>tandem!C$14*tandem!C$4*LN((M$29-C4)/tandem!C$15+1)</f>
        <v>1.2011223375544136</v>
      </c>
      <c r="F4" s="2">
        <f t="shared" ref="F4:F35" si="2">D4+E4</f>
        <v>1.6824095987326255</v>
      </c>
      <c r="G4" s="2">
        <f>A4*calc!M$30</f>
        <v>1.1927390781760956E-2</v>
      </c>
      <c r="H4" s="2">
        <f>A4*calc!M$31</f>
        <v>2.8625737876103011E-2</v>
      </c>
      <c r="I4" s="2">
        <f>tandem!C$9-tandem!C$8*(EXP(G4/tandem!C$7/tandem!C$4)-1)</f>
        <v>0.34726797487963401</v>
      </c>
      <c r="J4" s="2">
        <f>tandem!C$16-tandem!C$15*(EXP(H4/tandem!C$14/tandem!C$4)-1)</f>
        <v>1.6527320250611388</v>
      </c>
    </row>
    <row r="5" spans="1:10" x14ac:dyDescent="0.2">
      <c r="A5">
        <v>0.04</v>
      </c>
      <c r="B5">
        <f t="shared" si="0"/>
        <v>0.97624908003072619</v>
      </c>
      <c r="C5" s="2">
        <f t="shared" si="1"/>
        <v>0.9762490801283511</v>
      </c>
      <c r="D5" s="2">
        <f>tandem!C$7*tandem!C$4*LN((M$28-C5)/tandem!C$8+1)</f>
        <v>0.49950006813313191</v>
      </c>
      <c r="E5" s="2">
        <f>tandem!C$14*tandem!C$4*LN((M$29-C5)/tandem!C$15+1)</f>
        <v>1.2375479516845309</v>
      </c>
      <c r="F5" s="2">
        <f t="shared" si="2"/>
        <v>1.7370480198176628</v>
      </c>
      <c r="G5" s="2">
        <f>A5*calc!M$30</f>
        <v>2.3854781563521912E-2</v>
      </c>
      <c r="H5" s="2">
        <f>A5*calc!M$31</f>
        <v>5.7251475752206023E-2</v>
      </c>
      <c r="I5" s="2">
        <f>tandem!C$9-tandem!C$8*(EXP(G5/tandem!C$7/tandem!C$4)-1)</f>
        <v>0.34726797478693472</v>
      </c>
      <c r="J5" s="2">
        <f>tandem!C$16-tandem!C$15*(EXP(H5/tandem!C$14/tandem!C$4)-1)</f>
        <v>1.6527320250598567</v>
      </c>
    </row>
    <row r="6" spans="1:10" x14ac:dyDescent="0.2">
      <c r="A6">
        <v>0.06</v>
      </c>
      <c r="B6">
        <f t="shared" si="0"/>
        <v>0.96401257027735976</v>
      </c>
      <c r="C6" s="2">
        <f t="shared" si="1"/>
        <v>0.96401257037376098</v>
      </c>
      <c r="D6" s="2">
        <f>tandem!C$7*tandem!C$4*LN((M$28-C6)/tandem!C$8+1)</f>
        <v>0.51026277267294506</v>
      </c>
      <c r="E6" s="2">
        <f>tandem!C$14*tandem!C$4*LN((M$29-C6)/tandem!C$15+1)</f>
        <v>1.2590733608375733</v>
      </c>
      <c r="F6" s="2">
        <f t="shared" si="2"/>
        <v>1.7693361335105182</v>
      </c>
      <c r="G6" s="2">
        <f>A6*calc!M$30</f>
        <v>3.5782172345282866E-2</v>
      </c>
      <c r="H6" s="2">
        <f>A6*calc!M$31</f>
        <v>8.5877213628309038E-2</v>
      </c>
      <c r="I6" s="2">
        <f>tandem!C$9-tandem!C$8*(EXP(G6/tandem!C$7/tandem!C$4)-1)</f>
        <v>0.34726797464001619</v>
      </c>
      <c r="J6" s="2">
        <f>tandem!C$16-tandem!C$15*(EXP(H6/tandem!C$14/tandem!C$4)-1)</f>
        <v>1.6527320250576285</v>
      </c>
    </row>
    <row r="7" spans="1:10" x14ac:dyDescent="0.2">
      <c r="A7">
        <v>0.08</v>
      </c>
      <c r="B7">
        <f t="shared" si="0"/>
        <v>0.9515288666297248</v>
      </c>
      <c r="C7" s="2">
        <f t="shared" si="1"/>
        <v>0.95152886672487769</v>
      </c>
      <c r="D7" s="2">
        <f>tandem!C$7*tandem!C$4*LN((M$28-C7)/tandem!C$8+1)</f>
        <v>0.51797575976433796</v>
      </c>
      <c r="E7" s="2">
        <f>tandem!C$14*tandem!C$4*LN((M$29-C7)/tandem!C$15+1)</f>
        <v>1.2744993350570599</v>
      </c>
      <c r="F7" s="2">
        <f t="shared" si="2"/>
        <v>1.7924750948213979</v>
      </c>
      <c r="G7" s="2">
        <f>A7*calc!M$30</f>
        <v>4.7709563127043823E-2</v>
      </c>
      <c r="H7" s="2">
        <f>A7*calc!M$31</f>
        <v>0.11450295150441205</v>
      </c>
      <c r="I7" s="2">
        <f>tandem!C$9-tandem!C$8*(EXP(G7/tandem!C$7/tandem!C$4)-1)</f>
        <v>0.347267974407166</v>
      </c>
      <c r="J7" s="2">
        <f>tandem!C$16-tandem!C$15*(EXP(H7/tandem!C$14/tandem!C$4)-1)</f>
        <v>1.6527320250537565</v>
      </c>
    </row>
    <row r="8" spans="1:10" x14ac:dyDescent="0.2">
      <c r="A8">
        <v>0.1</v>
      </c>
      <c r="B8">
        <f t="shared" si="0"/>
        <v>0.9387929754399108</v>
      </c>
      <c r="C8" s="2">
        <f t="shared" si="1"/>
        <v>0.93879297553379015</v>
      </c>
      <c r="D8" s="2">
        <f>tandem!C$7*tandem!C$4*LN((M$28-C8)/tandem!C$8+1)</f>
        <v>0.52401806221253133</v>
      </c>
      <c r="E8" s="2">
        <f>tandem!C$14*tandem!C$4*LN((M$29-C8)/tandem!C$15+1)</f>
        <v>1.2865839399754613</v>
      </c>
      <c r="F8" s="2">
        <f t="shared" si="2"/>
        <v>1.8106020021879927</v>
      </c>
      <c r="G8" s="2">
        <f>A8*calc!M$30</f>
        <v>5.9636953908804781E-2</v>
      </c>
      <c r="H8" s="2">
        <f>A8*calc!M$31</f>
        <v>0.14312868938051507</v>
      </c>
      <c r="I8" s="2">
        <f>tandem!C$9-tandem!C$8*(EXP(G8/tandem!C$7/tandem!C$4)-1)</f>
        <v>0.34726797403812332</v>
      </c>
      <c r="J8" s="2">
        <f>tandem!C$16-tandem!C$15*(EXP(H8/tandem!C$14/tandem!C$4)-1)</f>
        <v>1.6527320250470277</v>
      </c>
    </row>
    <row r="9" spans="1:10" x14ac:dyDescent="0.2">
      <c r="A9">
        <v>0.12</v>
      </c>
      <c r="B9">
        <f t="shared" si="0"/>
        <v>0.92579980218162761</v>
      </c>
      <c r="C9" s="2">
        <f t="shared" si="1"/>
        <v>0.92579980227420755</v>
      </c>
      <c r="D9" s="2">
        <f>tandem!C$7*tandem!C$4*LN((M$28-C9)/tandem!C$8+1)</f>
        <v>0.52900393790161704</v>
      </c>
      <c r="E9" s="2">
        <f>tandem!C$14*tandem!C$4*LN((M$29-C9)/tandem!C$15+1)</f>
        <v>1.2965556913683043</v>
      </c>
      <c r="F9" s="2">
        <f t="shared" si="2"/>
        <v>1.8255596292699212</v>
      </c>
      <c r="G9" s="2">
        <f>A9*calc!M$30</f>
        <v>7.1564344690565732E-2</v>
      </c>
      <c r="H9" s="2">
        <f>A9*calc!M$31</f>
        <v>0.17175442725661808</v>
      </c>
      <c r="I9" s="2">
        <f>tandem!C$9-tandem!C$8*(EXP(G9/tandem!C$7/tandem!C$4)-1)</f>
        <v>0.34726797345323013</v>
      </c>
      <c r="J9" s="2">
        <f>tandem!C$16-tandem!C$15*(EXP(H9/tandem!C$14/tandem!C$4)-1)</f>
        <v>1.6527320250353343</v>
      </c>
    </row>
    <row r="10" spans="1:10" x14ac:dyDescent="0.2">
      <c r="A10">
        <v>0.14000000000000001</v>
      </c>
      <c r="B10">
        <f t="shared" si="0"/>
        <v>0.91254414941232731</v>
      </c>
      <c r="C10" s="2">
        <f t="shared" si="1"/>
        <v>0.91254414950358176</v>
      </c>
      <c r="D10" s="2">
        <f>tandem!C$7*tandem!C$4*LN((M$28-C10)/tandem!C$8+1)</f>
        <v>0.53326105058648576</v>
      </c>
      <c r="E10" s="2">
        <f>tandem!C$14*tandem!C$4*LN((M$29-C10)/tandem!C$15+1)</f>
        <v>1.3050699167485171</v>
      </c>
      <c r="F10" s="2">
        <f t="shared" si="2"/>
        <v>1.8383309673350028</v>
      </c>
      <c r="G10" s="2">
        <f>A10*calc!M$30</f>
        <v>8.3491735472326703E-2</v>
      </c>
      <c r="H10" s="2">
        <f>A10*calc!M$31</f>
        <v>0.20038016513272111</v>
      </c>
      <c r="I10" s="2">
        <f>tandem!C$9-tandem!C$8*(EXP(G10/tandem!C$7/tandem!C$4)-1)</f>
        <v>0.34726797252623692</v>
      </c>
      <c r="J10" s="2">
        <f>tandem!C$16-tandem!C$15*(EXP(H10/tandem!C$14/tandem!C$4)-1)</f>
        <v>1.6527320250150137</v>
      </c>
    </row>
    <row r="11" spans="1:10" x14ac:dyDescent="0.2">
      <c r="A11">
        <v>0.16</v>
      </c>
      <c r="B11">
        <f t="shared" si="0"/>
        <v>0.89902071469415767</v>
      </c>
      <c r="C11" s="2">
        <f t="shared" si="1"/>
        <v>0.89902071478405976</v>
      </c>
      <c r="D11" s="2">
        <f>tandem!C$7*tandem!C$4*LN((M$28-C11)/tandem!C$8+1)</f>
        <v>0.5369849862178635</v>
      </c>
      <c r="E11" s="2">
        <f>tandem!C$14*tandem!C$4*LN((M$29-C11)/tandem!C$15+1)</f>
        <v>1.3125177880191257</v>
      </c>
      <c r="F11" s="2">
        <f t="shared" si="2"/>
        <v>1.8495027742369892</v>
      </c>
      <c r="G11" s="2">
        <f>A11*calc!M$30</f>
        <v>9.5419126254087647E-2</v>
      </c>
      <c r="H11" s="2">
        <f>A11*calc!M$31</f>
        <v>0.22900590300882409</v>
      </c>
      <c r="I11" s="2">
        <f>tandem!C$9-tandem!C$8*(EXP(G11/tandem!C$7/tandem!C$4)-1)</f>
        <v>0.34726797105705165</v>
      </c>
      <c r="J11" s="2">
        <f>tandem!C$16-tandem!C$15*(EXP(H11/tandem!C$14/tandem!C$4)-1)</f>
        <v>1.6527320249797002</v>
      </c>
    </row>
    <row r="12" spans="1:10" x14ac:dyDescent="0.2">
      <c r="A12">
        <v>0.18</v>
      </c>
      <c r="B12">
        <f t="shared" si="0"/>
        <v>0.88522408847291678</v>
      </c>
      <c r="C12" s="2">
        <f t="shared" si="1"/>
        <v>0.88522408856143919</v>
      </c>
      <c r="D12" s="2">
        <f>tandem!C$7*tandem!C$4*LN((M$28-C12)/tandem!C$8+1)</f>
        <v>0.54030190163029446</v>
      </c>
      <c r="E12" s="2">
        <f>tandem!C$14*tandem!C$4*LN((M$29-C12)/tandem!C$15+1)</f>
        <v>1.319151618850092</v>
      </c>
      <c r="F12" s="2">
        <f t="shared" si="2"/>
        <v>1.8594535204803866</v>
      </c>
      <c r="G12" s="2">
        <f>A12*calc!M$30</f>
        <v>0.1073465170358486</v>
      </c>
      <c r="H12" s="2">
        <f>A12*calc!M$31</f>
        <v>0.25763164088492713</v>
      </c>
      <c r="I12" s="2">
        <f>tandem!C$9-tandem!C$8*(EXP(G12/tandem!C$7/tandem!C$4)-1)</f>
        <v>0.34726796872854987</v>
      </c>
      <c r="J12" s="2">
        <f>tandem!C$16-tandem!C$15*(EXP(H12/tandem!C$14/tandem!C$4)-1)</f>
        <v>1.6527320249183326</v>
      </c>
    </row>
    <row r="13" spans="1:10" x14ac:dyDescent="0.2">
      <c r="A13">
        <v>0.2</v>
      </c>
      <c r="B13">
        <f t="shared" si="0"/>
        <v>0.87114875191415841</v>
      </c>
      <c r="C13" s="2">
        <f t="shared" si="1"/>
        <v>0.87114875200127329</v>
      </c>
      <c r="D13" s="2">
        <f>tandem!C$7*tandem!C$4*LN((M$28-C13)/tandem!C$8+1)</f>
        <v>0.54329793570843676</v>
      </c>
      <c r="E13" s="2">
        <f>tandem!C$14*tandem!C$4*LN((M$29-C13)/tandem!C$15+1)</f>
        <v>1.3251436870112574</v>
      </c>
      <c r="F13" s="2">
        <f t="shared" si="2"/>
        <v>1.8684416227196943</v>
      </c>
      <c r="G13" s="2">
        <f>A13*calc!M$30</f>
        <v>0.11927390781760956</v>
      </c>
      <c r="H13" s="2">
        <f>A13*calc!M$31</f>
        <v>0.28625737876103013</v>
      </c>
      <c r="I13" s="2">
        <f>tandem!C$9-tandem!C$8*(EXP(G13/tandem!C$7/tandem!C$4)-1)</f>
        <v>0.34726796503812335</v>
      </c>
      <c r="J13" s="2">
        <f>tandem!C$16-tandem!C$15*(EXP(H13/tandem!C$14/tandem!C$4)-1)</f>
        <v>1.6527320248116881</v>
      </c>
    </row>
    <row r="14" spans="1:10" x14ac:dyDescent="0.2">
      <c r="A14">
        <v>0.22</v>
      </c>
      <c r="B14">
        <f t="shared" si="0"/>
        <v>0.85678907469558574</v>
      </c>
      <c r="C14" s="2">
        <f t="shared" si="1"/>
        <v>0.85678907478126465</v>
      </c>
      <c r="D14" s="2">
        <f>tandem!C$7*tandem!C$4*LN((M$28-C14)/tandem!C$8+1)</f>
        <v>0.54603452769452643</v>
      </c>
      <c r="E14" s="2">
        <f>tandem!C$14*tandem!C$4*LN((M$29-C14)/tandem!C$15+1)</f>
        <v>1.3306168709874271</v>
      </c>
      <c r="F14" s="2">
        <f t="shared" si="2"/>
        <v>1.8766513986819535</v>
      </c>
      <c r="G14" s="2">
        <f>A14*calc!M$30</f>
        <v>0.13120129859937052</v>
      </c>
      <c r="H14" s="2">
        <f>A14*calc!M$31</f>
        <v>0.31488311663713314</v>
      </c>
      <c r="I14" s="2">
        <f>tandem!C$9-tandem!C$8*(EXP(G14/tandem!C$7/tandem!C$4)-1)</f>
        <v>0.3472679591891914</v>
      </c>
      <c r="J14" s="2">
        <f>tandem!C$16-tandem!C$15*(EXP(H14/tandem!C$14/tandem!C$4)-1)</f>
        <v>1.6527320246263608</v>
      </c>
    </row>
    <row r="15" spans="1:10" x14ac:dyDescent="0.2">
      <c r="A15">
        <v>0.24</v>
      </c>
      <c r="B15">
        <f t="shared" si="0"/>
        <v>0.84213931275484599</v>
      </c>
      <c r="C15" s="2">
        <f t="shared" si="1"/>
        <v>0.84213931283905996</v>
      </c>
      <c r="D15" s="2">
        <f>tandem!C$7*tandem!C$4*LN((M$28-C15)/tandem!C$8+1)</f>
        <v>0.5485570419329433</v>
      </c>
      <c r="E15" s="2">
        <f>tandem!C$14*tandem!C$4*LN((M$29-C15)/tandem!C$15+1)</f>
        <v>1.3356618994675844</v>
      </c>
      <c r="F15" s="2">
        <f t="shared" si="2"/>
        <v>1.8842189414005277</v>
      </c>
      <c r="G15" s="2">
        <f>A15*calc!M$30</f>
        <v>0.14312868938113146</v>
      </c>
      <c r="H15" s="2">
        <f>A15*calc!M$31</f>
        <v>0.34350885451323615</v>
      </c>
      <c r="I15" s="2">
        <f>tandem!C$9-tandem!C$8*(EXP(G15/tandem!C$7/tandem!C$4)-1)</f>
        <v>0.34726794991925902</v>
      </c>
      <c r="J15" s="2">
        <f>tandem!C$16-tandem!C$15*(EXP(H15/tandem!C$14/tandem!C$4)-1)</f>
        <v>1.6527320243042991</v>
      </c>
    </row>
    <row r="16" spans="1:10" x14ac:dyDescent="0.2">
      <c r="A16">
        <v>0.26</v>
      </c>
      <c r="B16">
        <f t="shared" si="0"/>
        <v>0.82719360599183045</v>
      </c>
      <c r="C16" s="2">
        <f t="shared" si="1"/>
        <v>0.82719360607454984</v>
      </c>
      <c r="D16" s="2">
        <f>tandem!C$7*tandem!C$4*LN((M$28-C16)/tandem!C$8+1)</f>
        <v>0.55089992848584013</v>
      </c>
      <c r="E16" s="2">
        <f>tandem!C$14*tandem!C$4*LN((M$29-C16)/tandem!C$15+1)</f>
        <v>1.3403476725761874</v>
      </c>
      <c r="F16" s="2">
        <f t="shared" si="2"/>
        <v>1.8912476010620276</v>
      </c>
      <c r="G16" s="2">
        <f>A16*calc!M$30</f>
        <v>0.15505608016289243</v>
      </c>
      <c r="H16" s="2">
        <f>A16*calc!M$31</f>
        <v>0.37213459238933916</v>
      </c>
      <c r="I16" s="2">
        <f>tandem!C$9-tandem!C$8*(EXP(G16/tandem!C$7/tandem!C$4)-1)</f>
        <v>0.34726793522740629</v>
      </c>
      <c r="J16" s="2">
        <f>tandem!C$16-tandem!C$15*(EXP(H16/tandem!C$14/tandem!C$4)-1)</f>
        <v>1.6527320237446199</v>
      </c>
    </row>
    <row r="17" spans="1:13" x14ac:dyDescent="0.2">
      <c r="A17">
        <v>0.28000000000000003</v>
      </c>
      <c r="B17">
        <f t="shared" si="0"/>
        <v>0.81194597592455509</v>
      </c>
      <c r="C17" s="2">
        <f t="shared" si="1"/>
        <v>0.81194597600574969</v>
      </c>
      <c r="D17" s="2">
        <f>tandem!C$7*tandem!C$4*LN((M$28-C17)/tandem!C$8+1)</f>
        <v>0.55308996580901792</v>
      </c>
      <c r="E17" s="2">
        <f>tandem!C$14*tandem!C$4*LN((M$29-C17)/tandem!C$15+1)</f>
        <v>1.344727747224949</v>
      </c>
      <c r="F17" s="2">
        <f t="shared" si="2"/>
        <v>1.8978177130339668</v>
      </c>
      <c r="G17" s="2">
        <f>A17*calc!M$30</f>
        <v>0.16698347094465341</v>
      </c>
      <c r="H17" s="2">
        <f>A17*calc!M$31</f>
        <v>0.40076033026544222</v>
      </c>
      <c r="I17" s="2">
        <f>tandem!C$9-tandem!C$8*(EXP(G17/tandem!C$7/tandem!C$4)-1)</f>
        <v>0.34726791194238887</v>
      </c>
      <c r="J17" s="2">
        <f>tandem!C$16-tandem!C$15*(EXP(H17/tandem!C$14/tandem!C$4)-1)</f>
        <v>1.652732022772009</v>
      </c>
    </row>
    <row r="18" spans="1:13" x14ac:dyDescent="0.2">
      <c r="A18">
        <v>0.3</v>
      </c>
      <c r="B18">
        <f t="shared" si="0"/>
        <v>0.79639032329768833</v>
      </c>
      <c r="C18" s="2">
        <f t="shared" si="1"/>
        <v>0.7963903233773274</v>
      </c>
      <c r="D18" s="2">
        <f>tandem!C$7*tandem!C$4*LN((M$28-C18)/tandem!C$8+1)</f>
        <v>0.55514838198166871</v>
      </c>
      <c r="E18" s="2">
        <f>tandem!C$14*tandem!C$4*LN((M$29-C18)/tandem!C$15+1)</f>
        <v>1.3488445795723341</v>
      </c>
      <c r="F18" s="2">
        <f t="shared" si="2"/>
        <v>1.9039929615540028</v>
      </c>
      <c r="G18" s="2">
        <f>A18*calc!M$30</f>
        <v>0.17891086172641432</v>
      </c>
      <c r="H18" s="2">
        <f>A18*calc!M$31</f>
        <v>0.42938606814154517</v>
      </c>
      <c r="I18" s="2">
        <f>tandem!C$9-tandem!C$8*(EXP(G18/tandem!C$7/tandem!C$4)-1)</f>
        <v>0.34726787503812334</v>
      </c>
      <c r="J18" s="2">
        <f>tandem!C$16-tandem!C$15*(EXP(H18/tandem!C$14/tandem!C$4)-1)</f>
        <v>1.6527320210818051</v>
      </c>
    </row>
    <row r="19" spans="1:13" x14ac:dyDescent="0.2">
      <c r="A19">
        <v>0.32</v>
      </c>
      <c r="B19">
        <f t="shared" si="0"/>
        <v>0.78052042564276825</v>
      </c>
      <c r="C19" s="2">
        <f t="shared" si="1"/>
        <v>0.78052042572082025</v>
      </c>
      <c r="D19" s="2">
        <f>tandem!C$7*tandem!C$4*LN((M$28-C19)/tandem!C$8+1)</f>
        <v>0.55709228993961868</v>
      </c>
      <c r="E19" s="2">
        <f>tandem!C$14*tandem!C$4*LN((M$29-C19)/tandem!C$15+1)</f>
        <v>1.3527323954900552</v>
      </c>
      <c r="F19" s="2">
        <f t="shared" si="2"/>
        <v>1.9098246854296739</v>
      </c>
      <c r="G19" s="2">
        <f>A19*calc!M$30</f>
        <v>0.19083825250817529</v>
      </c>
      <c r="H19" s="2">
        <f>A19*calc!M$31</f>
        <v>0.45801180601764818</v>
      </c>
      <c r="I19" s="2">
        <f>tandem!C$9-tandem!C$8*(EXP(G19/tandem!C$7/tandem!C$4)-1)</f>
        <v>0.34726781654880406</v>
      </c>
      <c r="J19" s="2">
        <f>tandem!C$16-tandem!C$15*(EXP(H19/tandem!C$14/tandem!C$4)-1)</f>
        <v>1.652732018144567</v>
      </c>
    </row>
    <row r="20" spans="1:13" x14ac:dyDescent="0.2">
      <c r="A20">
        <v>0.34</v>
      </c>
      <c r="B20">
        <f t="shared" si="0"/>
        <v>0.76432993478913136</v>
      </c>
      <c r="C20" s="2">
        <f t="shared" si="1"/>
        <v>0.76432993486556433</v>
      </c>
      <c r="D20" s="2">
        <f>tandem!C$7*tandem!C$4*LN((M$28-C20)/tandem!C$8+1)</f>
        <v>0.5589356868333073</v>
      </c>
      <c r="E20" s="2">
        <f>tandem!C$14*tandem!C$4*LN((M$29-C20)/tandem!C$15+1)</f>
        <v>1.3564191892790374</v>
      </c>
      <c r="F20" s="2">
        <f t="shared" si="2"/>
        <v>1.9153548761123447</v>
      </c>
      <c r="G20" s="2">
        <f>A20*calc!M$30</f>
        <v>0.20276564328993626</v>
      </c>
      <c r="H20" s="2">
        <f>A20*calc!M$31</f>
        <v>0.48663754389375125</v>
      </c>
      <c r="I20" s="2">
        <f>tandem!C$9-tandem!C$8*(EXP(G20/tandem!C$7/tandem!C$4)-1)</f>
        <v>0.34726772384948018</v>
      </c>
      <c r="J20" s="2">
        <f>tandem!C$16-tandem!C$15*(EXP(H20/tandem!C$14/tandem!C$4)-1)</f>
        <v>1.6527320130402323</v>
      </c>
    </row>
    <row r="21" spans="1:13" x14ac:dyDescent="0.2">
      <c r="A21">
        <v>0.36</v>
      </c>
      <c r="B21">
        <f t="shared" si="0"/>
        <v>0.74781237432456016</v>
      </c>
      <c r="C21" s="2">
        <f t="shared" si="1"/>
        <v>0.74781237439934145</v>
      </c>
      <c r="D21" s="2">
        <f>tandem!C$7*tandem!C$4*LN((M$28-C21)/tandem!C$8+1)</f>
        <v>0.56069016730367072</v>
      </c>
      <c r="E21" s="2">
        <f>tandem!C$14*tandem!C$4*LN((M$29-C21)/tandem!C$15+1)</f>
        <v>1.35992815022119</v>
      </c>
      <c r="F21" s="2">
        <f t="shared" si="2"/>
        <v>1.9206183175248608</v>
      </c>
      <c r="G21" s="2">
        <f>A21*calc!M$30</f>
        <v>0.21469303407169721</v>
      </c>
      <c r="H21" s="2">
        <f>A21*calc!M$31</f>
        <v>0.51526328176985425</v>
      </c>
      <c r="I21" s="2">
        <f>tandem!C$9-tandem!C$8*(EXP(G21/tandem!C$7/tandem!C$4)-1)</f>
        <v>0.34726757693095278</v>
      </c>
      <c r="J21" s="2">
        <f>tandem!C$16-tandem!C$15*(EXP(H21/tandem!C$14/tandem!C$4)-1)</f>
        <v>1.6527320041699154</v>
      </c>
    </row>
    <row r="22" spans="1:13" x14ac:dyDescent="0.2">
      <c r="A22">
        <v>0.38</v>
      </c>
      <c r="B22">
        <f t="shared" si="0"/>
        <v>0.73096113700463139</v>
      </c>
      <c r="C22" s="2">
        <f t="shared" si="1"/>
        <v>0.73096113707772747</v>
      </c>
      <c r="D22" s="2">
        <f>tandem!C$7*tandem!C$4*LN((M$28-C22)/tandem!C$8+1)</f>
        <v>0.5623654436512644</v>
      </c>
      <c r="E22" s="2">
        <f>tandem!C$14*tandem!C$4*LN((M$29-C22)/tandem!C$15+1)</f>
        <v>1.3632787029176507</v>
      </c>
      <c r="F22" s="2">
        <f t="shared" si="2"/>
        <v>1.9256441465689151</v>
      </c>
      <c r="G22" s="2">
        <f>A22*calc!M$30</f>
        <v>0.22662042485345815</v>
      </c>
      <c r="H22" s="2">
        <f>A22*calc!M$31</f>
        <v>0.54388901964595726</v>
      </c>
      <c r="I22" s="2">
        <f>tandem!C$9-tandem!C$8*(EXP(G22/tandem!C$7/tandem!C$4)-1)</f>
        <v>0.34726734408077881</v>
      </c>
      <c r="J22" s="2">
        <f>tandem!C$16-tandem!C$15*(EXP(H22/tandem!C$14/tandem!C$4)-1)</f>
        <v>1.6527319887550711</v>
      </c>
    </row>
    <row r="23" spans="1:13" x14ac:dyDescent="0.2">
      <c r="A23">
        <v>0.4</v>
      </c>
      <c r="B23">
        <f t="shared" si="0"/>
        <v>0.71376948210973135</v>
      </c>
      <c r="C23" s="2">
        <f t="shared" si="1"/>
        <v>0.71376948218110825</v>
      </c>
      <c r="D23" s="2">
        <f>tandem!C$7*tandem!C$4*LN((M$28-C23)/tandem!C$8+1)</f>
        <v>0.56396973242542003</v>
      </c>
      <c r="E23" s="2">
        <f>tandem!C$14*tandem!C$4*LN((M$29-C23)/tandem!C$15+1)</f>
        <v>1.3664872804671069</v>
      </c>
      <c r="F23" s="2">
        <f t="shared" si="2"/>
        <v>1.9304570128925269</v>
      </c>
      <c r="G23" s="2">
        <f>A23*calc!M$30</f>
        <v>0.23854781563521912</v>
      </c>
      <c r="H23" s="2">
        <f>A23*calc!M$31</f>
        <v>0.57251475752206027</v>
      </c>
      <c r="I23" s="2">
        <f>tandem!C$9-tandem!C$8*(EXP(G23/tandem!C$7/tandem!C$4)-1)</f>
        <v>0.34726697503812332</v>
      </c>
      <c r="J23" s="2">
        <f>tandem!C$16-tandem!C$15*(EXP(H23/tandem!C$14/tandem!C$4)-1)</f>
        <v>1.6527319619671421</v>
      </c>
    </row>
    <row r="24" spans="1:13" x14ac:dyDescent="0.2">
      <c r="A24">
        <v>0.42</v>
      </c>
      <c r="B24">
        <f t="shared" si="0"/>
        <v>0.69623053274867686</v>
      </c>
      <c r="C24" s="2">
        <f t="shared" si="1"/>
        <v>0.69623053281829994</v>
      </c>
      <c r="D24" s="2">
        <f>tandem!C$7*tandem!C$4*LN((M$28-C24)/tandem!C$8+1)</f>
        <v>0.56551004659443094</v>
      </c>
      <c r="E24" s="2">
        <f>tandem!C$14*tandem!C$4*LN((M$29-C24)/tandem!C$15+1)</f>
        <v>1.369567908806163</v>
      </c>
      <c r="F24" s="2">
        <f t="shared" si="2"/>
        <v>1.9350779554005939</v>
      </c>
      <c r="G24" s="2">
        <f>A24*calc!M$30</f>
        <v>0.25047520641698007</v>
      </c>
      <c r="H24" s="2">
        <f>A24*calc!M$31</f>
        <v>0.60114049539816328</v>
      </c>
      <c r="I24" s="2">
        <f>tandem!C$9-tandem!C$8*(EXP(G24/tandem!C$7/tandem!C$4)-1)</f>
        <v>0.34726639014493083</v>
      </c>
      <c r="J24" s="2">
        <f>tandem!C$16-tandem!C$15*(EXP(H24/tandem!C$14/tandem!C$4)-1)</f>
        <v>1.652731915415057</v>
      </c>
    </row>
    <row r="25" spans="1:13" x14ac:dyDescent="0.2">
      <c r="A25">
        <v>0.44</v>
      </c>
      <c r="B25">
        <f t="shared" si="0"/>
        <v>0.6783372731078674</v>
      </c>
      <c r="C25" s="2">
        <f t="shared" si="1"/>
        <v>0.67833727317570114</v>
      </c>
      <c r="D25" s="2">
        <f>tandem!C$7*tandem!C$4*LN((M$28-C25)/tandem!C$8+1)</f>
        <v>0.56699241968534675</v>
      </c>
      <c r="E25" s="2">
        <f>tandem!C$14*tandem!C$4*LN((M$29-C25)/tandem!C$15+1)</f>
        <v>1.3725326549889338</v>
      </c>
      <c r="F25" s="2">
        <f t="shared" si="2"/>
        <v>1.9395250746742807</v>
      </c>
      <c r="G25" s="2">
        <f>A25*calc!M$30</f>
        <v>0.26240259719874104</v>
      </c>
      <c r="H25" s="2">
        <f>A25*calc!M$31</f>
        <v>0.62976623327426628</v>
      </c>
      <c r="I25" s="2">
        <f>tandem!C$9-tandem!C$8*(EXP(G25/tandem!C$7/tandem!C$4)-1)</f>
        <v>0.34726546315169171</v>
      </c>
      <c r="J25" s="2">
        <f>tandem!C$16-tandem!C$15*(EXP(H25/tandem!C$14/tandem!C$4)-1)</f>
        <v>1.6527318345168049</v>
      </c>
    </row>
    <row r="26" spans="1:13" x14ac:dyDescent="0.2">
      <c r="A26">
        <v>0.46</v>
      </c>
      <c r="B26">
        <f t="shared" si="0"/>
        <v>0.66008254564486712</v>
      </c>
      <c r="C26" s="2">
        <f t="shared" si="1"/>
        <v>0.66008254571087543</v>
      </c>
      <c r="D26" s="2">
        <f>tandem!C$7*tandem!C$4*LN((M$28-C26)/tandem!C$8+1)</f>
        <v>0.56842208005919403</v>
      </c>
      <c r="E26" s="2">
        <f>tandem!C$14*tandem!C$4*LN((M$29-C26)/tandem!C$15+1)</f>
        <v>1.3753919757374846</v>
      </c>
      <c r="F26" s="2">
        <f t="shared" si="2"/>
        <v>1.9438140557966785</v>
      </c>
      <c r="G26" s="2">
        <f>A26*calc!M$30</f>
        <v>0.27432998798050201</v>
      </c>
      <c r="H26" s="2">
        <f>A26*calc!M$31</f>
        <v>0.65839197115036929</v>
      </c>
      <c r="I26" s="2">
        <f>tandem!C$9-tandem!C$8*(EXP(G26/tandem!C$7/tandem!C$4)-1)</f>
        <v>0.34726399396641761</v>
      </c>
      <c r="J26" s="2">
        <f>tandem!C$16-tandem!C$15*(EXP(H26/tandem!C$14/tandem!C$4)-1)</f>
        <v>1.6527316939317551</v>
      </c>
    </row>
    <row r="27" spans="1:13" x14ac:dyDescent="0.2">
      <c r="A27">
        <v>0.48</v>
      </c>
      <c r="B27">
        <f t="shared" si="0"/>
        <v>0.64145904822529087</v>
      </c>
      <c r="C27" s="2">
        <f t="shared" si="1"/>
        <v>0.64145904828943678</v>
      </c>
      <c r="D27" s="2">
        <f>tandem!C$7*tandem!C$4*LN((M$28-C27)/tandem!C$8+1)</f>
        <v>0.56980358806856779</v>
      </c>
      <c r="E27" s="2">
        <f>tandem!C$14*tandem!C$4*LN((M$29-C27)/tandem!C$15+1)</f>
        <v>1.3781549917570159</v>
      </c>
      <c r="F27" s="2">
        <f t="shared" si="2"/>
        <v>1.9479585798255838</v>
      </c>
      <c r="G27" s="2">
        <f>A27*calc!M$30</f>
        <v>0.28625737876226293</v>
      </c>
      <c r="H27" s="2">
        <f>A27*calc!M$31</f>
        <v>0.6870177090264723</v>
      </c>
      <c r="I27" s="2">
        <f>tandem!C$9-tandem!C$8*(EXP(G27/tandem!C$7/tandem!C$4)-1)</f>
        <v>0.34726166546467824</v>
      </c>
      <c r="J27" s="2">
        <f>tandem!C$16-tandem!C$15*(EXP(H27/tandem!C$14/tandem!C$4)-1)</f>
        <v>1.6527314496229393</v>
      </c>
      <c r="L27" t="s">
        <v>44</v>
      </c>
      <c r="M27">
        <v>1.0000000001</v>
      </c>
    </row>
    <row r="28" spans="1:13" x14ac:dyDescent="0.2">
      <c r="A28">
        <v>0.5</v>
      </c>
      <c r="B28">
        <f t="shared" si="0"/>
        <v>0.62245933120185448</v>
      </c>
      <c r="C28" s="2">
        <f t="shared" si="1"/>
        <v>0.62245933126410047</v>
      </c>
      <c r="D28" s="2">
        <f>tandem!C$7*tandem!C$4*LN((M$28-C28)/tandem!C$8+1)</f>
        <v>0.57114094519778302</v>
      </c>
      <c r="E28" s="2">
        <f>tandem!C$14*tandem!C$4*LN((M$29-C28)/tandem!C$15+1)</f>
        <v>1.3808297060161661</v>
      </c>
      <c r="F28" s="2">
        <f t="shared" si="2"/>
        <v>1.9519706512139492</v>
      </c>
      <c r="G28" s="2">
        <f>A28*calc!M$30</f>
        <v>0.2981847695440239</v>
      </c>
      <c r="H28" s="2">
        <f>A28*calc!M$31</f>
        <v>0.71564344690257531</v>
      </c>
      <c r="I28" s="2">
        <f>tandem!C$9-tandem!C$8*(EXP(G28/tandem!C$7/tandem!C$4)-1)</f>
        <v>0.34725797503812283</v>
      </c>
      <c r="J28" s="2">
        <f>tandem!C$16-tandem!C$15*(EXP(H28/tandem!C$14/tandem!C$4)-1)</f>
        <v>1.6527310250628766</v>
      </c>
      <c r="L28" t="s">
        <v>45</v>
      </c>
      <c r="M28">
        <v>1</v>
      </c>
    </row>
    <row r="29" spans="1:13" x14ac:dyDescent="0.2">
      <c r="A29">
        <v>0.52</v>
      </c>
      <c r="B29">
        <f t="shared" si="0"/>
        <v>0.6030757944344155</v>
      </c>
      <c r="C29" s="2">
        <f t="shared" si="1"/>
        <v>0.60307579449472304</v>
      </c>
      <c r="D29" s="2">
        <f>tandem!C$7*tandem!C$4*LN((M$28-C29)/tandem!C$8+1)</f>
        <v>0.57243768178468113</v>
      </c>
      <c r="E29" s="2">
        <f>tandem!C$14*tandem!C$4*LN((M$29-C29)/tandem!C$15+1)</f>
        <v>1.3834231791906255</v>
      </c>
      <c r="F29" s="2">
        <f t="shared" si="2"/>
        <v>1.9558608609753065</v>
      </c>
      <c r="G29" s="2">
        <f>A29*calc!M$30</f>
        <v>0.31011216032578487</v>
      </c>
      <c r="H29" s="2">
        <f>A29*calc!M$31</f>
        <v>0.74426918477867832</v>
      </c>
      <c r="I29" s="2">
        <f>tandem!C$9-tandem!C$8*(EXP(G29/tandem!C$7/tandem!C$4)-1)</f>
        <v>0.34725212610619788</v>
      </c>
      <c r="J29" s="2">
        <f>tandem!C$16-tandem!C$15*(EXP(H29/tandem!C$14/tandem!C$4)-1)</f>
        <v>1.652730287262048</v>
      </c>
      <c r="L29" t="s">
        <v>46</v>
      </c>
      <c r="M29">
        <v>1</v>
      </c>
    </row>
    <row r="30" spans="1:13" x14ac:dyDescent="0.2">
      <c r="A30">
        <v>0.54</v>
      </c>
      <c r="B30">
        <f t="shared" si="0"/>
        <v>0.58330068424981629</v>
      </c>
      <c r="C30" s="2">
        <f t="shared" si="1"/>
        <v>0.58330068430814641</v>
      </c>
      <c r="D30" s="2">
        <f>tandem!C$7*tandem!C$4*LN((M$28-C30)/tandem!C$8+1)</f>
        <v>0.57369692817810514</v>
      </c>
      <c r="E30" s="2">
        <f>tandem!C$14*tandem!C$4*LN((M$29-C30)/tandem!C$15+1)</f>
        <v>1.3859416719780866</v>
      </c>
      <c r="F30" s="2">
        <f t="shared" si="2"/>
        <v>1.9596386001561918</v>
      </c>
      <c r="G30" s="2">
        <f>A30*calc!M$30</f>
        <v>0.32203955110754584</v>
      </c>
      <c r="H30" s="2">
        <f>A30*calc!M$31</f>
        <v>0.77289492265478144</v>
      </c>
      <c r="I30" s="2">
        <f>tandem!C$9-tandem!C$8*(EXP(G30/tandem!C$7/tandem!C$4)-1)</f>
        <v>0.3472428561738069</v>
      </c>
      <c r="J30" s="2">
        <f>tandem!C$16-tandem!C$15*(EXP(H30/tandem!C$14/tandem!C$4)-1)</f>
        <v>1.6527290051111563</v>
      </c>
      <c r="L30" t="s">
        <v>37</v>
      </c>
      <c r="M30" s="2">
        <v>0.5963695390880478</v>
      </c>
    </row>
    <row r="31" spans="1:13" x14ac:dyDescent="0.2">
      <c r="A31">
        <v>0.56000000000000005</v>
      </c>
      <c r="B31">
        <f t="shared" si="0"/>
        <v>0.56312609034031147</v>
      </c>
      <c r="C31" s="2">
        <f t="shared" si="1"/>
        <v>0.56312609039662409</v>
      </c>
      <c r="D31" s="2">
        <f>tandem!C$7*tandem!C$4*LN((M$28-C31)/tandem!C$8+1)</f>
        <v>0.57492147294823093</v>
      </c>
      <c r="E31" s="2">
        <f>tandem!C$14*tandem!C$4*LN((M$29-C31)/tandem!C$15+1)</f>
        <v>1.3883907615189066</v>
      </c>
      <c r="F31" s="2">
        <f t="shared" si="2"/>
        <v>1.9633122344671374</v>
      </c>
      <c r="G31" s="2">
        <f>A31*calc!M$30</f>
        <v>0.33396694188930681</v>
      </c>
      <c r="H31" s="2">
        <f>A31*calc!M$31</f>
        <v>0.80152066053088444</v>
      </c>
      <c r="I31" s="2">
        <f>tandem!C$9-tandem!C$8*(EXP(G31/tandem!C$7/tandem!C$4)-1)</f>
        <v>0.34722816432106574</v>
      </c>
      <c r="J31" s="2">
        <f>tandem!C$16-tandem!C$15*(EXP(H31/tandem!C$14/tandem!C$4)-1)</f>
        <v>1.6527267769882741</v>
      </c>
      <c r="L31" t="s">
        <v>39</v>
      </c>
      <c r="M31" s="2">
        <v>1.4312868938051506</v>
      </c>
    </row>
    <row r="32" spans="1:13" x14ac:dyDescent="0.2">
      <c r="A32">
        <v>0.57999999999999996</v>
      </c>
      <c r="B32">
        <f t="shared" si="0"/>
        <v>0.54254394259933914</v>
      </c>
      <c r="C32" s="2">
        <f t="shared" si="1"/>
        <v>0.54254394265359351</v>
      </c>
      <c r="D32" s="2">
        <f>tandem!C$7*tandem!C$4*LN((M$28-C32)/tandem!C$8+1)</f>
        <v>0.57611381087767188</v>
      </c>
      <c r="E32" s="2">
        <f>tandem!C$14*tandem!C$4*LN((M$29-C32)/tandem!C$15+1)</f>
        <v>1.3907754373783165</v>
      </c>
      <c r="F32" s="2">
        <f t="shared" si="2"/>
        <v>1.9668892482559883</v>
      </c>
      <c r="G32" s="2">
        <f>A32*calc!M$30</f>
        <v>0.34589433267106767</v>
      </c>
      <c r="H32" s="2">
        <f>A32*calc!M$31</f>
        <v>0.83014639840698734</v>
      </c>
      <c r="I32" s="2">
        <f>tandem!C$9-tandem!C$8*(EXP(G32/tandem!C$7/tandem!C$4)-1)</f>
        <v>0.34720487930367167</v>
      </c>
      <c r="J32" s="2">
        <f>tandem!C$16-tandem!C$15*(EXP(H32/tandem!C$14/tandem!C$4)-1)</f>
        <v>1.6527229049544832</v>
      </c>
      <c r="L32" t="s">
        <v>20</v>
      </c>
      <c r="M32">
        <v>2.0276564328931985</v>
      </c>
    </row>
    <row r="33" spans="1:10" x14ac:dyDescent="0.2">
      <c r="A33">
        <v>0.6</v>
      </c>
      <c r="B33">
        <f t="shared" si="0"/>
        <v>0.52154600789337047</v>
      </c>
      <c r="C33" s="2">
        <f t="shared" si="1"/>
        <v>0.52154600794552508</v>
      </c>
      <c r="D33" s="2">
        <f>tandem!C$7*tandem!C$4*LN((M$28-C33)/tandem!C$8+1)</f>
        <v>0.57727618281340354</v>
      </c>
      <c r="E33" s="2">
        <f>tandem!C$14*tandem!C$4*LN((M$29-C33)/tandem!C$15+1)</f>
        <v>1.3931001812502721</v>
      </c>
      <c r="F33" s="2">
        <f t="shared" si="2"/>
        <v>1.9703763640636756</v>
      </c>
      <c r="G33" s="2">
        <f>A33*calc!M$30</f>
        <v>0.35782172345282864</v>
      </c>
      <c r="H33" s="2">
        <f>A33*calc!M$31</f>
        <v>0.85877213628309035</v>
      </c>
      <c r="I33" s="2">
        <f>tandem!C$9-tandem!C$8*(EXP(G33/tandem!C$7/tandem!C$4)-1)</f>
        <v>0.34716797503811736</v>
      </c>
      <c r="J33" s="2">
        <f>tandem!C$16-tandem!C$15*(EXP(H33/tandem!C$14/tandem!C$4)-1)</f>
        <v>1.6527161761309521</v>
      </c>
    </row>
    <row r="34" spans="1:10" x14ac:dyDescent="0.2">
      <c r="A34">
        <v>0.62</v>
      </c>
      <c r="B34">
        <f t="shared" si="0"/>
        <v>0.5001238867685468</v>
      </c>
      <c r="C34" s="2">
        <f t="shared" si="1"/>
        <v>0.50012388681855924</v>
      </c>
      <c r="D34" s="2">
        <f>tandem!C$7*tandem!C$4*LN((M$28-C34)/tandem!C$8+1)</f>
        <v>0.57841060898178032</v>
      </c>
      <c r="E34" s="2">
        <f>tandem!C$14*tandem!C$4*LN((M$29-C34)/tandem!C$15+1)</f>
        <v>1.3953690335874849</v>
      </c>
      <c r="F34" s="2">
        <f t="shared" si="2"/>
        <v>1.9737796425692653</v>
      </c>
      <c r="G34" s="2">
        <f>A34*calc!M$30</f>
        <v>0.36974911423458962</v>
      </c>
      <c r="H34" s="2">
        <f>A34*calc!M$31</f>
        <v>0.88739787415919336</v>
      </c>
      <c r="I34" s="2">
        <f>tandem!C$9-tandem!C$8*(EXP(G34/tandem!C$7/tandem!C$4)-1)</f>
        <v>0.34710948571886741</v>
      </c>
      <c r="J34" s="2">
        <f>tandem!C$16-tandem!C$15*(EXP(H34/tandem!C$14/tandem!C$4)-1)</f>
        <v>1.6527044827758433</v>
      </c>
    </row>
    <row r="35" spans="1:10" x14ac:dyDescent="0.2">
      <c r="A35">
        <v>0.64</v>
      </c>
      <c r="B35">
        <f t="shared" ref="B35:B53" si="3">1-(EXP(A35)-1)/(EXP(1)-1)</f>
        <v>0.47826901009078626</v>
      </c>
      <c r="C35" s="2">
        <f t="shared" si="1"/>
        <v>0.47826901013861317</v>
      </c>
      <c r="D35" s="2">
        <f>tandem!C$7*tandem!C$4*LN((M$28-C35)/tandem!C$8+1)</f>
        <v>0.57951891701258262</v>
      </c>
      <c r="E35" s="2">
        <f>tandem!C$14*tandem!C$4*LN((M$29-C35)/tandem!C$15+1)</f>
        <v>1.3975856496495191</v>
      </c>
      <c r="F35" s="2">
        <f t="shared" si="2"/>
        <v>1.9771045666621019</v>
      </c>
      <c r="G35" s="2">
        <f>A35*calc!M$30</f>
        <v>0.38167650501635059</v>
      </c>
      <c r="H35" s="2">
        <f>A35*calc!M$31</f>
        <v>0.91602361203529636</v>
      </c>
      <c r="I35" s="2">
        <f>tandem!C$9-tandem!C$8*(EXP(G35/tandem!C$7/tandem!C$4)-1)</f>
        <v>0.34701678639495631</v>
      </c>
      <c r="J35" s="2">
        <f>tandem!C$16-tandem!C$15*(EXP(H35/tandem!C$14/tandem!C$4)-1)</f>
        <v>1.6526841620536443</v>
      </c>
    </row>
    <row r="36" spans="1:10" x14ac:dyDescent="0.2">
      <c r="A36">
        <v>0.66</v>
      </c>
      <c r="B36">
        <f t="shared" si="3"/>
        <v>0.45597263561801538</v>
      </c>
      <c r="C36" s="2">
        <f t="shared" si="1"/>
        <v>0.45597263566361262</v>
      </c>
      <c r="D36" s="2">
        <f>tandem!C$7*tandem!C$4*LN((M$28-C36)/tandem!C$8+1)</f>
        <v>0.58060276564948754</v>
      </c>
      <c r="E36" s="2">
        <f>tandem!C$14*tandem!C$4*LN((M$29-C36)/tandem!C$15+1)</f>
        <v>1.399753346923732</v>
      </c>
      <c r="F36" s="2">
        <f t="shared" ref="F36:F53" si="4">D36+E36</f>
        <v>1.9803561125732196</v>
      </c>
      <c r="G36" s="2">
        <f>A36*calc!M$30</f>
        <v>0.39360389579811156</v>
      </c>
      <c r="H36" s="2">
        <f>A36*calc!M$31</f>
        <v>0.94464934991139948</v>
      </c>
      <c r="I36" s="2">
        <f>tandem!C$9-tandem!C$8*(EXP(G36/tandem!C$7/tandem!C$4)-1)</f>
        <v>0.34686986786754359</v>
      </c>
      <c r="J36" s="2">
        <f>tandem!C$16-tandem!C$15*(EXP(H36/tandem!C$14/tandem!C$4)-1)</f>
        <v>1.6526488486857664</v>
      </c>
    </row>
    <row r="37" spans="1:10" x14ac:dyDescent="0.2">
      <c r="A37">
        <v>0.68</v>
      </c>
      <c r="B37">
        <f t="shared" si="3"/>
        <v>0.43322584450315627</v>
      </c>
      <c r="C37" s="2">
        <f t="shared" si="1"/>
        <v>0.43322584454647883</v>
      </c>
      <c r="D37" s="2">
        <f>tandem!C$7*tandem!C$4*LN((M$28-C37)/tandem!C$8+1)</f>
        <v>0.58166366491998733</v>
      </c>
      <c r="E37" s="2">
        <f>tandem!C$14*tandem!C$4*LN((M$29-C37)/tandem!C$15+1)</f>
        <v>1.4018751454651097</v>
      </c>
      <c r="F37" s="2">
        <f t="shared" si="4"/>
        <v>1.9835388103850971</v>
      </c>
      <c r="G37" s="2">
        <f>A37*calc!M$30</f>
        <v>0.40553128657987253</v>
      </c>
      <c r="H37" s="2">
        <f>A37*calc!M$31</f>
        <v>0.97327508778750249</v>
      </c>
      <c r="I37" s="2">
        <f>tandem!C$9-tandem!C$8*(EXP(G37/tandem!C$7/tandem!C$4)-1)</f>
        <v>0.34663701769360022</v>
      </c>
      <c r="J37" s="2">
        <f>tandem!C$16-tandem!C$15*(EXP(H37/tandem!C$14/tandem!C$4)-1)</f>
        <v>1.6525874810858019</v>
      </c>
    </row>
    <row r="38" spans="1:10" x14ac:dyDescent="0.2">
      <c r="A38">
        <v>0.70000000000000007</v>
      </c>
      <c r="B38">
        <f t="shared" si="3"/>
        <v>0.41001953772646837</v>
      </c>
      <c r="C38" s="2">
        <f t="shared" si="1"/>
        <v>0.41001953776747035</v>
      </c>
      <c r="D38" s="2">
        <f>tandem!C$7*tandem!C$4*LN((M$28-C38)/tandem!C$8+1)</f>
        <v>0.58270299338083609</v>
      </c>
      <c r="E38" s="2">
        <f>tandem!C$14*tandem!C$4*LN((M$29-C38)/tandem!C$15+1)</f>
        <v>1.4039538023871632</v>
      </c>
      <c r="F38" s="2">
        <f t="shared" si="4"/>
        <v>1.9866567957679993</v>
      </c>
      <c r="G38" s="2">
        <f>A38*calc!M$30</f>
        <v>0.4174586773616335</v>
      </c>
      <c r="H38" s="2">
        <f>A38*calc!M$31</f>
        <v>1.0019008256636055</v>
      </c>
      <c r="I38" s="2">
        <f>tandem!C$9-tandem!C$8*(EXP(G38/tandem!C$7/tandem!C$4)-1)</f>
        <v>0.34626797503805334</v>
      </c>
      <c r="J38" s="2">
        <f>tandem!C$16-tandem!C$15*(EXP(H38/tandem!C$14/tandem!C$4)-1)</f>
        <v>1.6524808364197254</v>
      </c>
    </row>
    <row r="39" spans="1:10" x14ac:dyDescent="0.2">
      <c r="A39">
        <v>0.72</v>
      </c>
      <c r="B39">
        <f t="shared" si="3"/>
        <v>0.3863444324558194</v>
      </c>
      <c r="C39" s="2">
        <f t="shared" si="1"/>
        <v>0.38634443249445383</v>
      </c>
      <c r="D39" s="2">
        <f>tandem!C$7*tandem!C$4*LN((M$28-C39)/tandem!C$8+1)</f>
        <v>0.58372201293355508</v>
      </c>
      <c r="E39" s="2">
        <f>tandem!C$14*tandem!C$4*LN((M$29-C39)/tandem!C$15+1)</f>
        <v>1.4059918414929367</v>
      </c>
      <c r="F39" s="2">
        <f t="shared" si="4"/>
        <v>1.9897138544264918</v>
      </c>
      <c r="G39" s="2">
        <f>A39*calc!M$30</f>
        <v>0.42938606814339442</v>
      </c>
      <c r="H39" s="2">
        <f>A39*calc!M$31</f>
        <v>1.0305265635397085</v>
      </c>
      <c r="I39" s="2">
        <f>tandem!C$9-tandem!C$8*(EXP(G39/tandem!C$7/tandem!C$4)-1)</f>
        <v>0.34568308184554813</v>
      </c>
      <c r="J39" s="2">
        <f>tandem!C$16-tandem!C$15*(EXP(H39/tandem!C$14/tandem!C$4)-1)</f>
        <v>1.6522955092306362</v>
      </c>
    </row>
    <row r="40" spans="1:10" x14ac:dyDescent="0.2">
      <c r="A40">
        <v>0.74</v>
      </c>
      <c r="B40">
        <f t="shared" si="3"/>
        <v>0.36219105833342879</v>
      </c>
      <c r="C40" s="2">
        <f t="shared" si="1"/>
        <v>0.36219105836964788</v>
      </c>
      <c r="D40" s="2">
        <f>tandem!C$7*tandem!C$4*LN((M$28-C40)/tandem!C$8+1)</f>
        <v>0.58472188160962935</v>
      </c>
      <c r="E40" s="2">
        <f>tandem!C$14*tandem!C$4*LN((M$29-C40)/tandem!C$15+1)</f>
        <v>1.4079915788454014</v>
      </c>
      <c r="F40" s="2">
        <f t="shared" si="4"/>
        <v>1.9927134604550307</v>
      </c>
      <c r="G40" s="2">
        <f>A40*calc!M$30</f>
        <v>0.44131345892515539</v>
      </c>
      <c r="H40" s="2">
        <f>A40*calc!M$31</f>
        <v>1.0591523014158115</v>
      </c>
      <c r="I40" s="2">
        <f>tandem!C$9-tandem!C$8*(EXP(G40/tandem!C$7/tandem!C$4)-1)</f>
        <v>0.34475608860642787</v>
      </c>
      <c r="J40" s="2">
        <f>tandem!C$16-tandem!C$15*(EXP(H40/tandem!C$14/tandem!C$4)-1)</f>
        <v>1.6519734474878469</v>
      </c>
    </row>
    <row r="41" spans="1:10" x14ac:dyDescent="0.2">
      <c r="A41">
        <v>0.76</v>
      </c>
      <c r="B41">
        <f t="shared" si="3"/>
        <v>0.33754975368759832</v>
      </c>
      <c r="C41" s="2">
        <f t="shared" si="1"/>
        <v>0.33754975372135332</v>
      </c>
      <c r="D41" s="2">
        <f>tandem!C$7*tandem!C$4*LN((M$28-C41)/tandem!C$8+1)</f>
        <v>0.58570366465039214</v>
      </c>
      <c r="E41" s="2">
        <f>tandem!C$14*tandem!C$4*LN((M$29-C41)/tandem!C$15+1)</f>
        <v>1.4099551449272263</v>
      </c>
      <c r="F41" s="2">
        <f t="shared" si="4"/>
        <v>1.9956588095776184</v>
      </c>
      <c r="G41" s="2">
        <f>A41*calc!M$30</f>
        <v>0.4532408497069163</v>
      </c>
      <c r="H41" s="2">
        <f>A41*calc!M$31</f>
        <v>1.0877780392919145</v>
      </c>
      <c r="I41" s="2">
        <f>tandem!C$9-tandem!C$8*(EXP(G41/tandem!C$7/tandem!C$4)-1)</f>
        <v>0.34328690333228579</v>
      </c>
      <c r="J41" s="2">
        <f>tandem!C$16-tandem!C$15*(EXP(H41/tandem!C$14/tandem!C$4)-1)</f>
        <v>1.6514137683243193</v>
      </c>
    </row>
    <row r="42" spans="1:10" x14ac:dyDescent="0.2">
      <c r="A42">
        <v>0.78</v>
      </c>
      <c r="B42">
        <f t="shared" si="3"/>
        <v>0.31241066166791442</v>
      </c>
      <c r="C42" s="2">
        <f t="shared" si="1"/>
        <v>0.31241066169915549</v>
      </c>
      <c r="D42" s="2">
        <f>tandem!C$7*tandem!C$4*LN((M$28-C42)/tandem!C$8+1)</f>
        <v>0.58666834414747837</v>
      </c>
      <c r="E42" s="2">
        <f>tandem!C$14*tandem!C$4*LN((M$29-C42)/tandem!C$15+1)</f>
        <v>1.4118845039216816</v>
      </c>
      <c r="F42" s="2">
        <f t="shared" si="4"/>
        <v>1.9985528480691599</v>
      </c>
      <c r="G42" s="2">
        <f>A42*calc!M$30</f>
        <v>0.46516824048867728</v>
      </c>
      <c r="H42" s="2">
        <f>A42*calc!M$31</f>
        <v>1.1164037771680175</v>
      </c>
      <c r="I42" s="2">
        <f>tandem!C$9-tandem!C$8*(EXP(G42/tandem!C$7/tandem!C$4)-1)</f>
        <v>0.34095840159282925</v>
      </c>
      <c r="J42" s="2">
        <f>tandem!C$16-tandem!C$15*(EXP(H42/tandem!C$14/tandem!C$4)-1)</f>
        <v>1.650441157410107</v>
      </c>
    </row>
    <row r="43" spans="1:10" x14ac:dyDescent="0.2">
      <c r="A43">
        <v>0.8</v>
      </c>
      <c r="B43">
        <f t="shared" si="3"/>
        <v>0.28676372630237679</v>
      </c>
      <c r="C43" s="2">
        <f t="shared" si="1"/>
        <v>0.28676372633105318</v>
      </c>
      <c r="D43" s="2">
        <f>tandem!C$7*tandem!C$4*LN((M$28-C43)/tandem!C$8+1)</f>
        <v>0.58761682746257871</v>
      </c>
      <c r="E43" s="2">
        <f>tandem!C$14*tandem!C$4*LN((M$29-C43)/tandem!C$15+1)</f>
        <v>1.4137814705521508</v>
      </c>
      <c r="F43" s="2">
        <f t="shared" si="4"/>
        <v>2.0013982980147293</v>
      </c>
      <c r="G43" s="2">
        <f>A43*calc!M$30</f>
        <v>0.47709563127043825</v>
      </c>
      <c r="H43" s="2">
        <f>A43*calc!M$31</f>
        <v>1.1450295150441205</v>
      </c>
      <c r="I43" s="2">
        <f>tandem!C$9-tandem!C$8*(EXP(G43/tandem!C$7/tandem!C$4)-1)</f>
        <v>0.33726797503732336</v>
      </c>
      <c r="J43" s="2">
        <f>tandem!C$16-tandem!C$15*(EXP(H43/tandem!C$14/tandem!C$4)-1)</f>
        <v>1.6487509533573386</v>
      </c>
    </row>
    <row r="44" spans="1:10" x14ac:dyDescent="0.2">
      <c r="A44">
        <v>0.82000000000000006</v>
      </c>
      <c r="B44">
        <f t="shared" si="3"/>
        <v>0.26059868847487599</v>
      </c>
      <c r="C44" s="2">
        <f t="shared" si="1"/>
        <v>0.26059868850093587</v>
      </c>
      <c r="D44" s="2">
        <f>tandem!C$7*tandem!C$4*LN((M$28-C44)/tandem!C$8+1)</f>
        <v>0.58854995460741377</v>
      </c>
      <c r="E44" s="2">
        <f>tandem!C$14*tandem!C$4*LN((M$29-C44)/tandem!C$15+1)</f>
        <v>1.4156477248420751</v>
      </c>
      <c r="F44" s="2">
        <f t="shared" si="4"/>
        <v>2.0041976794494891</v>
      </c>
      <c r="G44" s="2">
        <f>A44*calc!M$30</f>
        <v>0.48902302205219922</v>
      </c>
      <c r="H44" s="2">
        <f>A44*calc!M$31</f>
        <v>1.1736552529202235</v>
      </c>
      <c r="I44" s="2">
        <f>tandem!C$9-tandem!C$8*(EXP(G44/tandem!C$7/tandem!C$4)-1)</f>
        <v>0.3314190431122126</v>
      </c>
      <c r="J44" s="2">
        <f>tandem!C$16-tandem!C$15*(EXP(H44/tandem!C$14/tandem!C$4)-1)</f>
        <v>1.6458137153536816</v>
      </c>
    </row>
    <row r="45" spans="1:10" x14ac:dyDescent="0.2">
      <c r="A45">
        <v>0.84</v>
      </c>
      <c r="B45">
        <f t="shared" si="3"/>
        <v>0.23390508182140923</v>
      </c>
      <c r="C45" s="2">
        <f t="shared" si="1"/>
        <v>0.23390508184479974</v>
      </c>
      <c r="D45" s="2">
        <f>tandem!C$7*tandem!C$4*LN((M$28-C45)/tandem!C$8+1)</f>
        <v>0.58946850473431067</v>
      </c>
      <c r="E45" s="2">
        <f>tandem!C$14*tandem!C$4*LN((M$29-C45)/tandem!C$15+1)</f>
        <v>1.4174848250961107</v>
      </c>
      <c r="F45" s="2">
        <f t="shared" si="4"/>
        <v>2.0069533298304214</v>
      </c>
      <c r="G45" s="2">
        <f>A45*calc!M$30</f>
        <v>0.50095041283396013</v>
      </c>
      <c r="H45" s="2">
        <f>A45*calc!M$31</f>
        <v>1.2022809907963266</v>
      </c>
      <c r="I45" s="2">
        <f>tandem!C$9-tandem!C$8*(EXP(G45/tandem!C$7/tandem!C$4)-1)</f>
        <v>0.32214911072091756</v>
      </c>
      <c r="J45" s="2">
        <f>tandem!C$16-tandem!C$15*(EXP(H45/tandem!C$14/tandem!C$4)-1)</f>
        <v>1.6407093807166924</v>
      </c>
    </row>
    <row r="46" spans="1:10" x14ac:dyDescent="0.2">
      <c r="A46">
        <v>0.86</v>
      </c>
      <c r="B46">
        <f t="shared" si="3"/>
        <v>0.20667222854339495</v>
      </c>
      <c r="C46" s="2">
        <f t="shared" si="1"/>
        <v>0.20667222856406217</v>
      </c>
      <c r="D46" s="2">
        <f>tandem!C$7*tandem!C$4*LN((M$28-C46)/tandem!C$8+1)</f>
        <v>0.59037320186299014</v>
      </c>
      <c r="E46" s="2">
        <f>tandem!C$14*tandem!C$4*LN((M$29-C46)/tandem!C$15+1)</f>
        <v>1.4192942193536993</v>
      </c>
      <c r="F46" s="2">
        <f t="shared" si="4"/>
        <v>2.0096674212166894</v>
      </c>
      <c r="G46" s="2">
        <f>A46*calc!M$30</f>
        <v>0.51287780361572111</v>
      </c>
      <c r="H46" s="2">
        <f>A46*calc!M$31</f>
        <v>1.2309067286724296</v>
      </c>
      <c r="I46" s="2">
        <f>tandem!C$9-tandem!C$8*(EXP(G46/tandem!C$7/tandem!C$4)-1)</f>
        <v>0.30745725797934986</v>
      </c>
      <c r="J46" s="2">
        <f>tandem!C$16-tandem!C$15*(EXP(H46/tandem!C$14/tandem!C$4)-1)</f>
        <v>1.6318390637543183</v>
      </c>
    </row>
    <row r="47" spans="1:10" x14ac:dyDescent="0.2">
      <c r="A47">
        <v>0.88</v>
      </c>
      <c r="B47">
        <f t="shared" si="3"/>
        <v>0.17888923513641275</v>
      </c>
      <c r="C47" s="2">
        <f t="shared" si="1"/>
        <v>0.17888923515430166</v>
      </c>
      <c r="D47" s="2">
        <f>tandem!C$7*tandem!C$4*LN((M$28-C47)/tandem!C$8+1)</f>
        <v>0.59126471994894836</v>
      </c>
      <c r="E47" s="2">
        <f>tandem!C$14*tandem!C$4*LN((M$29-C47)/tandem!C$15+1)</f>
        <v>1.4210772555258346</v>
      </c>
      <c r="F47" s="2">
        <f t="shared" si="4"/>
        <v>2.0123419754747829</v>
      </c>
      <c r="G47" s="2">
        <f>A47*calc!M$30</f>
        <v>0.52480519439748208</v>
      </c>
      <c r="H47" s="2">
        <f>A47*calc!M$31</f>
        <v>1.2595324665485326</v>
      </c>
      <c r="I47" s="2">
        <f>tandem!C$9-tandem!C$8*(EXP(G47/tandem!C$7/tandem!C$4)-1)</f>
        <v>0.28417224058455171</v>
      </c>
      <c r="J47" s="2">
        <f>tandem!C$16-tandem!C$15*(EXP(H47/tandem!C$14/tandem!C$4)-1)</f>
        <v>1.6164242195858345</v>
      </c>
    </row>
    <row r="48" spans="1:10" x14ac:dyDescent="0.2">
      <c r="A48">
        <v>0.9</v>
      </c>
      <c r="B48">
        <f t="shared" si="3"/>
        <v>0.15054498803265481</v>
      </c>
      <c r="C48" s="2">
        <f t="shared" si="1"/>
        <v>0.15054498804770933</v>
      </c>
      <c r="D48" s="2">
        <f>tandem!C$7*tandem!C$4*LN((M$28-C48)/tandem!C$8+1)</f>
        <v>0.59214368738223733</v>
      </c>
      <c r="E48" s="2">
        <f>tandem!C$14*tandem!C$4*LN((M$29-C48)/tandem!C$15+1)</f>
        <v>1.4228351903926209</v>
      </c>
      <c r="F48" s="2">
        <f t="shared" si="4"/>
        <v>2.0149788777748583</v>
      </c>
      <c r="G48" s="2">
        <f>A48*calc!M$30</f>
        <v>0.53673258517924305</v>
      </c>
      <c r="H48" s="2">
        <f>A48*calc!M$31</f>
        <v>1.2881582044246356</v>
      </c>
      <c r="I48" s="2">
        <f>tandem!C$9-tandem!C$8*(EXP(G48/tandem!C$7/tandem!C$4)-1)</f>
        <v>0.24726797502912332</v>
      </c>
      <c r="J48" s="2">
        <f>tandem!C$16-tandem!C$15*(EXP(H48/tandem!C$14/tandem!C$4)-1)</f>
        <v>1.5896362906148005</v>
      </c>
    </row>
    <row r="49" spans="1:10" x14ac:dyDescent="0.2">
      <c r="A49">
        <v>0.92</v>
      </c>
      <c r="B49">
        <f t="shared" si="3"/>
        <v>0.12162814915535169</v>
      </c>
      <c r="C49" s="2">
        <f t="shared" si="1"/>
        <v>0.12162814916751451</v>
      </c>
      <c r="D49" s="2">
        <f>tandem!C$7*tandem!C$4*LN((M$28-C49)/tandem!C$8+1)</f>
        <v>0.59301069099177783</v>
      </c>
      <c r="E49" s="2">
        <f>tandem!C$14*tandem!C$4*LN((M$29-C49)/tandem!C$15+1)</f>
        <v>1.4245691976119006</v>
      </c>
      <c r="F49" s="2">
        <f t="shared" si="4"/>
        <v>2.0175798886036782</v>
      </c>
      <c r="G49" s="2">
        <f>A49*calc!M$30</f>
        <v>0.54865997596100402</v>
      </c>
      <c r="H49" s="2">
        <f>A49*calc!M$31</f>
        <v>1.3167839423007386</v>
      </c>
      <c r="I49" s="2">
        <f>tandem!C$9-tandem!C$8*(EXP(G49/tandem!C$7/tandem!C$4)-1)</f>
        <v>0.18877865577743064</v>
      </c>
      <c r="J49" s="2">
        <f>tandem!C$16-tandem!C$15*(EXP(H49/tandem!C$14/tandem!C$4)-1)</f>
        <v>1.5430842054484573</v>
      </c>
    </row>
    <row r="50" spans="1:10" x14ac:dyDescent="0.2">
      <c r="A50">
        <v>0.94000000000000006</v>
      </c>
      <c r="B50">
        <f t="shared" si="3"/>
        <v>9.2127151383389227E-2</v>
      </c>
      <c r="C50" s="2">
        <f t="shared" si="1"/>
        <v>9.2127151392601941E-2</v>
      </c>
      <c r="D50" s="2">
        <f>tandem!C$7*tandem!C$4*LN((M$28-C50)/tandem!C$8+1)</f>
        <v>0.59386627961902794</v>
      </c>
      <c r="E50" s="2">
        <f>tandem!C$14*tandem!C$4*LN((M$29-C50)/tandem!C$15+1)</f>
        <v>1.4262803748665904</v>
      </c>
      <c r="F50" s="2">
        <f t="shared" si="4"/>
        <v>2.0201466544856181</v>
      </c>
      <c r="G50" s="2">
        <f>A50*calc!M$30</f>
        <v>0.56058736674276499</v>
      </c>
      <c r="H50" s="2">
        <f>A50*calc!M$31</f>
        <v>1.3454096801768416</v>
      </c>
      <c r="I50" s="2">
        <f>tandem!C$9-tandem!C$8*(EXP(G50/tandem!C$7/tandem!C$4)-1)</f>
        <v>9.6079331863553552E-2</v>
      </c>
      <c r="J50" s="2">
        <f>tandem!C$16-tandem!C$15*(EXP(H50/tandem!C$14/tandem!C$4)-1)</f>
        <v>1.4621859532663728</v>
      </c>
    </row>
    <row r="51" spans="1:10" x14ac:dyDescent="0.2">
      <c r="A51">
        <v>0.96</v>
      </c>
      <c r="B51">
        <f t="shared" si="3"/>
        <v>6.2030193924306976E-2</v>
      </c>
      <c r="C51" s="2">
        <f t="shared" si="1"/>
        <v>6.2030193930509993E-2</v>
      </c>
      <c r="D51" s="2">
        <f>tandem!C$7*tandem!C$4*LN((M$28-C51)/tandem!C$8+1)</f>
        <v>0.59471096731541762</v>
      </c>
      <c r="E51" s="2">
        <f>tandem!C$14*tandem!C$4*LN((M$29-C51)/tandem!C$15+1)</f>
        <v>1.427969750259551</v>
      </c>
      <c r="F51" s="2">
        <f t="shared" si="4"/>
        <v>2.0226807175749686</v>
      </c>
      <c r="G51" s="2">
        <f>A51*calc!M$30</f>
        <v>0.57251475752452585</v>
      </c>
      <c r="H51" s="2">
        <f>A51*calc!M$31</f>
        <v>1.3740354180529446</v>
      </c>
      <c r="I51" s="2">
        <f>tandem!C$9-tandem!C$8*(EXP(G51/tandem!C$7/tandem!C$4)-1)</f>
        <v>-5.0839195553591621E-2</v>
      </c>
      <c r="J51" s="2">
        <f>tandem!C$16-tandem!C$15*(EXP(H51/tandem!C$14/tandem!C$4)-1)</f>
        <v>1.3216009035799667</v>
      </c>
    </row>
    <row r="52" spans="1:10" x14ac:dyDescent="0.2">
      <c r="A52">
        <v>0.98</v>
      </c>
      <c r="B52">
        <f t="shared" si="3"/>
        <v>3.1325237593822997E-2</v>
      </c>
      <c r="C52" s="2">
        <f t="shared" si="1"/>
        <v>3.1325237596955519E-2</v>
      </c>
      <c r="D52" s="2">
        <f>tandem!C$7*tandem!C$4*LN((M$28-C52)/tandem!C$8+1)</f>
        <v>0.59554523621010835</v>
      </c>
      <c r="E52" s="2">
        <f>tandem!C$14*tandem!C$4*LN((M$29-C52)/tandem!C$15+1)</f>
        <v>1.4296382880491056</v>
      </c>
      <c r="F52" s="2">
        <f t="shared" si="4"/>
        <v>2.025183524259214</v>
      </c>
      <c r="G52" s="2">
        <f>A52*calc!M$30</f>
        <v>0.58444214830628682</v>
      </c>
      <c r="H52" s="2">
        <f>A52*calc!M$31</f>
        <v>1.4026611559290476</v>
      </c>
      <c r="I52" s="2">
        <f>tandem!C$9-tandem!C$8*(EXP(G52/tandem!C$7/tandem!C$4)-1)</f>
        <v>-0.28368936950390178</v>
      </c>
      <c r="J52" s="2">
        <f>tandem!C$16-tandem!C$15*(EXP(H52/tandem!C$14/tandem!C$4)-1)</f>
        <v>1.0772920877251546</v>
      </c>
    </row>
    <row r="53" spans="1:10" x14ac:dyDescent="0.2">
      <c r="A53">
        <v>1</v>
      </c>
      <c r="B53">
        <f t="shared" si="3"/>
        <v>0</v>
      </c>
      <c r="C53" s="2">
        <f t="shared" si="1"/>
        <v>0</v>
      </c>
      <c r="D53" s="2">
        <f>tandem!C$7*tandem!C$4*LN((M$28-C53)/tandem!C$8+1)</f>
        <v>0.5963695390880478</v>
      </c>
      <c r="E53" s="2">
        <f>tandem!C$14*tandem!C$4*LN((M$29-C53)/tandem!C$15+1)</f>
        <v>1.4312868938051506</v>
      </c>
      <c r="F53" s="2">
        <f t="shared" si="4"/>
        <v>2.0276564328931985</v>
      </c>
      <c r="G53" s="2">
        <f>A53*calc!M$30</f>
        <v>0.5963695390880478</v>
      </c>
      <c r="H53" s="2">
        <f>A53*calc!M$31</f>
        <v>1.4312868938051506</v>
      </c>
      <c r="I53" s="2">
        <f>tandem!C$9-tandem!C$8*(EXP(G53/tandem!C$7/tandem!C$4)-1)</f>
        <v>-0.65273202506187533</v>
      </c>
      <c r="J53" s="2">
        <f>tandem!C$16-tandem!C$15*(EXP(H53/tandem!C$14/tandem!C$4)-1)</f>
        <v>0.65273202506187578</v>
      </c>
    </row>
    <row r="54" spans="1:10" x14ac:dyDescent="0.2">
      <c r="C54" s="5"/>
      <c r="D54" s="5"/>
      <c r="E54" s="5"/>
      <c r="F54" s="5"/>
      <c r="G54" s="5"/>
      <c r="H54" s="5"/>
    </row>
    <row r="55" spans="1:10" x14ac:dyDescent="0.2">
      <c r="C55" s="5"/>
      <c r="D55" s="5"/>
      <c r="E55" s="5"/>
      <c r="F55" s="5"/>
      <c r="G55" s="5"/>
      <c r="H55" s="5"/>
    </row>
    <row r="56" spans="1:10" x14ac:dyDescent="0.2">
      <c r="C56" s="5"/>
      <c r="D56" s="5"/>
      <c r="E56" s="5"/>
      <c r="F56" s="5"/>
      <c r="G56" s="5"/>
      <c r="H56" s="5"/>
    </row>
    <row r="57" spans="1:10" x14ac:dyDescent="0.2">
      <c r="C57" s="5"/>
      <c r="D57" s="5"/>
      <c r="E57" s="5"/>
      <c r="F57" s="5"/>
      <c r="G57" s="5"/>
      <c r="H57" s="5"/>
    </row>
    <row r="58" spans="1:10" x14ac:dyDescent="0.2">
      <c r="C58" s="5"/>
      <c r="D58" s="5"/>
      <c r="E58" s="5"/>
      <c r="F58" s="5"/>
      <c r="G58" s="5"/>
      <c r="H58" s="5"/>
    </row>
    <row r="59" spans="1:10" x14ac:dyDescent="0.2">
      <c r="C59" s="5"/>
      <c r="D59" s="5"/>
      <c r="E59" s="5"/>
      <c r="F59" s="5"/>
      <c r="G59" s="5"/>
      <c r="H59" s="5"/>
    </row>
    <row r="60" spans="1:10" x14ac:dyDescent="0.2">
      <c r="C60" s="5"/>
      <c r="D60" s="5"/>
      <c r="E60" s="5"/>
      <c r="F60" s="5"/>
      <c r="G60" s="5"/>
      <c r="H60" s="5"/>
    </row>
    <row r="61" spans="1:10" x14ac:dyDescent="0.2">
      <c r="C61" s="5"/>
      <c r="D61" s="5"/>
      <c r="E61" s="5"/>
      <c r="F61" s="5"/>
      <c r="G61" s="5"/>
      <c r="H61" s="5"/>
    </row>
    <row r="62" spans="1:10" x14ac:dyDescent="0.2">
      <c r="C62" s="5"/>
      <c r="D62" s="5"/>
      <c r="E62" s="5"/>
      <c r="F62" s="5"/>
      <c r="G62" s="5"/>
      <c r="H62" s="5"/>
    </row>
    <row r="63" spans="1:10" x14ac:dyDescent="0.2">
      <c r="C63" s="5"/>
      <c r="D63" s="5"/>
      <c r="E63" s="5"/>
      <c r="F63" s="5"/>
      <c r="G63" s="5"/>
      <c r="H63" s="5"/>
    </row>
    <row r="64" spans="1:10" x14ac:dyDescent="0.2">
      <c r="C64" s="5"/>
      <c r="D64" s="5"/>
      <c r="E64" s="5"/>
      <c r="F64" s="5"/>
      <c r="G64" s="5"/>
      <c r="H64" s="5"/>
    </row>
    <row r="65" spans="3:8" x14ac:dyDescent="0.2">
      <c r="C65" s="5"/>
      <c r="D65" s="5"/>
      <c r="E65" s="5"/>
      <c r="F65" s="5"/>
      <c r="G65" s="5"/>
      <c r="H65" s="5"/>
    </row>
    <row r="66" spans="3:8" x14ac:dyDescent="0.2">
      <c r="C66" s="5"/>
      <c r="D66" s="5"/>
      <c r="E66" s="5"/>
      <c r="F66" s="5"/>
      <c r="G66" s="5"/>
      <c r="H66" s="5"/>
    </row>
    <row r="67" spans="3:8" x14ac:dyDescent="0.2">
      <c r="C67" s="5"/>
      <c r="D67" s="5"/>
      <c r="E67" s="5"/>
      <c r="F67" s="5"/>
      <c r="G67" s="5"/>
      <c r="H67" s="5"/>
    </row>
    <row r="68" spans="3:8" x14ac:dyDescent="0.2">
      <c r="C68" s="5"/>
      <c r="D68" s="5"/>
      <c r="E68" s="5"/>
      <c r="F68" s="5"/>
      <c r="G68" s="5"/>
      <c r="H68" s="5"/>
    </row>
    <row r="69" spans="3:8" x14ac:dyDescent="0.2">
      <c r="C69" s="5"/>
      <c r="D69" s="5"/>
      <c r="E69" s="5"/>
      <c r="F69" s="5"/>
      <c r="G69" s="5"/>
      <c r="H69" s="5"/>
    </row>
    <row r="70" spans="3:8" x14ac:dyDescent="0.2">
      <c r="C70" s="5"/>
      <c r="D70" s="5"/>
      <c r="E70" s="5"/>
      <c r="F70" s="5"/>
      <c r="G70" s="5"/>
      <c r="H70" s="5"/>
    </row>
    <row r="71" spans="3:8" x14ac:dyDescent="0.2">
      <c r="C71" s="5"/>
      <c r="D71" s="5"/>
      <c r="E71" s="5"/>
      <c r="F71" s="5"/>
      <c r="G71" s="5"/>
      <c r="H71" s="5"/>
    </row>
    <row r="72" spans="3:8" x14ac:dyDescent="0.2">
      <c r="C72" s="5"/>
      <c r="D72" s="5"/>
      <c r="E72" s="5"/>
      <c r="F72" s="5"/>
      <c r="G72" s="5"/>
      <c r="H72" s="5"/>
    </row>
    <row r="73" spans="3:8" x14ac:dyDescent="0.2">
      <c r="C73" s="5"/>
      <c r="D73" s="5"/>
      <c r="E73" s="5"/>
      <c r="F73" s="5"/>
      <c r="G73" s="5"/>
      <c r="H73" s="5"/>
    </row>
    <row r="74" spans="3:8" x14ac:dyDescent="0.2">
      <c r="C74" s="5"/>
      <c r="D74" s="5"/>
      <c r="E74" s="5"/>
      <c r="F74" s="5"/>
      <c r="G74" s="5"/>
      <c r="H74" s="5"/>
    </row>
    <row r="75" spans="3:8" x14ac:dyDescent="0.2">
      <c r="C75" s="5"/>
      <c r="D75" s="5"/>
      <c r="E75" s="5"/>
      <c r="F75" s="5"/>
      <c r="G75" s="5"/>
      <c r="H75" s="5"/>
    </row>
    <row r="76" spans="3:8" x14ac:dyDescent="0.2">
      <c r="C76" s="5"/>
      <c r="D76" s="5"/>
      <c r="E76" s="5"/>
      <c r="F76" s="5"/>
      <c r="G76" s="5"/>
      <c r="H76" s="5"/>
    </row>
    <row r="77" spans="3:8" x14ac:dyDescent="0.2">
      <c r="C77" s="5"/>
      <c r="D77" s="5"/>
      <c r="E77" s="5"/>
      <c r="F77" s="5"/>
      <c r="G77" s="5"/>
      <c r="H77" s="5"/>
    </row>
    <row r="78" spans="3:8" x14ac:dyDescent="0.2">
      <c r="C78" s="5"/>
      <c r="D78" s="5"/>
      <c r="E78" s="5"/>
      <c r="F78" s="5"/>
      <c r="G78" s="5"/>
      <c r="H78" s="5"/>
    </row>
    <row r="79" spans="3:8" x14ac:dyDescent="0.2">
      <c r="C79" s="5"/>
      <c r="D79" s="5"/>
      <c r="E79" s="5"/>
      <c r="F79" s="5"/>
      <c r="G79" s="5"/>
      <c r="H79" s="5"/>
    </row>
    <row r="80" spans="3:8" x14ac:dyDescent="0.2">
      <c r="C80" s="5"/>
      <c r="D80" s="5"/>
      <c r="E80" s="5"/>
      <c r="F80" s="5"/>
      <c r="G80" s="5"/>
      <c r="H80" s="5"/>
    </row>
    <row r="81" spans="3:8" x14ac:dyDescent="0.2">
      <c r="C81" s="5"/>
      <c r="D81" s="5"/>
      <c r="E81" s="5"/>
      <c r="F81" s="5"/>
      <c r="G81" s="5"/>
      <c r="H81" s="5"/>
    </row>
    <row r="82" spans="3:8" x14ac:dyDescent="0.2">
      <c r="C82" s="5"/>
      <c r="D82" s="5"/>
      <c r="E82" s="5"/>
      <c r="F82" s="5"/>
      <c r="G82" s="5"/>
      <c r="H82" s="5"/>
    </row>
    <row r="83" spans="3:8" x14ac:dyDescent="0.2">
      <c r="C83" s="5"/>
      <c r="D83" s="5"/>
      <c r="E83" s="5"/>
      <c r="F83" s="5"/>
      <c r="G83" s="5"/>
      <c r="H83" s="5"/>
    </row>
    <row r="84" spans="3:8" x14ac:dyDescent="0.2">
      <c r="C84" s="5"/>
      <c r="D84" s="5"/>
      <c r="E84" s="5"/>
      <c r="F84" s="5"/>
      <c r="G84" s="5"/>
      <c r="H84" s="5"/>
    </row>
    <row r="85" spans="3:8" x14ac:dyDescent="0.2">
      <c r="C85" s="5"/>
      <c r="D85" s="5"/>
      <c r="E85" s="5"/>
      <c r="F85" s="5"/>
      <c r="G85" s="5"/>
      <c r="H85" s="5"/>
    </row>
    <row r="86" spans="3:8" x14ac:dyDescent="0.2">
      <c r="C86" s="5"/>
      <c r="D86" s="5"/>
      <c r="E86" s="5"/>
      <c r="F86" s="5"/>
      <c r="G86" s="5"/>
      <c r="H86" s="5"/>
    </row>
    <row r="87" spans="3:8" x14ac:dyDescent="0.2">
      <c r="C87" s="5"/>
      <c r="D87" s="5"/>
      <c r="E87" s="5"/>
      <c r="F87" s="5"/>
      <c r="G87" s="5"/>
      <c r="H87" s="5"/>
    </row>
    <row r="88" spans="3:8" x14ac:dyDescent="0.2">
      <c r="C88" s="5"/>
      <c r="D88" s="5"/>
      <c r="E88" s="5"/>
      <c r="F88" s="5"/>
      <c r="G88" s="5"/>
      <c r="H88" s="5"/>
    </row>
    <row r="89" spans="3:8" x14ac:dyDescent="0.2">
      <c r="C89" s="5"/>
      <c r="D89" s="5"/>
      <c r="E89" s="5"/>
      <c r="F89" s="5"/>
      <c r="G89" s="5"/>
      <c r="H89" s="5"/>
    </row>
    <row r="90" spans="3:8" x14ac:dyDescent="0.2">
      <c r="C90" s="5"/>
      <c r="D90" s="5"/>
      <c r="E90" s="5"/>
      <c r="F90" s="5"/>
      <c r="G90" s="5"/>
      <c r="H90" s="5"/>
    </row>
    <row r="91" spans="3:8" x14ac:dyDescent="0.2">
      <c r="C91" s="5"/>
      <c r="D91" s="5"/>
      <c r="E91" s="5"/>
      <c r="F91" s="5"/>
      <c r="G91" s="5"/>
      <c r="H91" s="5"/>
    </row>
    <row r="92" spans="3:8" x14ac:dyDescent="0.2">
      <c r="C92" s="5"/>
      <c r="D92" s="5"/>
      <c r="E92" s="5"/>
      <c r="F92" s="5"/>
      <c r="G92" s="5"/>
      <c r="H92" s="5"/>
    </row>
    <row r="93" spans="3:8" x14ac:dyDescent="0.2">
      <c r="C93" s="5"/>
      <c r="D93" s="5"/>
      <c r="E93" s="5"/>
      <c r="F93" s="5"/>
      <c r="G93" s="5"/>
      <c r="H93" s="5"/>
    </row>
    <row r="94" spans="3:8" x14ac:dyDescent="0.2">
      <c r="C94" s="5"/>
      <c r="D94" s="5"/>
      <c r="E94" s="5"/>
      <c r="F94" s="5"/>
      <c r="G94" s="5"/>
      <c r="H94" s="5"/>
    </row>
    <row r="95" spans="3:8" x14ac:dyDescent="0.2">
      <c r="C95" s="5"/>
      <c r="D95" s="5"/>
      <c r="E95" s="5"/>
      <c r="F95" s="5"/>
      <c r="G95" s="5"/>
      <c r="H95" s="5"/>
    </row>
    <row r="96" spans="3:8" x14ac:dyDescent="0.2">
      <c r="C96" s="5"/>
      <c r="D96" s="5"/>
      <c r="E96" s="5"/>
      <c r="F96" s="5"/>
      <c r="G96" s="5"/>
      <c r="H96" s="5"/>
    </row>
    <row r="97" spans="3:8" x14ac:dyDescent="0.2">
      <c r="C97" s="5"/>
      <c r="D97" s="5"/>
      <c r="E97" s="5"/>
      <c r="F97" s="5"/>
      <c r="G97" s="5"/>
      <c r="H97" s="5"/>
    </row>
    <row r="98" spans="3:8" x14ac:dyDescent="0.2">
      <c r="C98" s="5"/>
      <c r="D98" s="5"/>
      <c r="E98" s="5"/>
      <c r="F98" s="5"/>
      <c r="G98" s="5"/>
      <c r="H98" s="5"/>
    </row>
    <row r="99" spans="3:8" x14ac:dyDescent="0.2">
      <c r="C99" s="5"/>
      <c r="D99" s="5"/>
      <c r="E99" s="5"/>
      <c r="F99" s="5"/>
      <c r="G99" s="5"/>
      <c r="H99" s="5"/>
    </row>
    <row r="100" spans="3:8" x14ac:dyDescent="0.2">
      <c r="C100" s="5"/>
      <c r="D100" s="5"/>
      <c r="E100" s="5"/>
      <c r="F100" s="5"/>
      <c r="G100" s="5"/>
      <c r="H100" s="5"/>
    </row>
    <row r="101" spans="3:8" x14ac:dyDescent="0.2">
      <c r="C101" s="5"/>
      <c r="D101" s="5"/>
      <c r="E101" s="5"/>
      <c r="F101" s="5"/>
      <c r="G101" s="5"/>
      <c r="H101" s="5"/>
    </row>
    <row r="102" spans="3:8" x14ac:dyDescent="0.2">
      <c r="C102" s="5"/>
      <c r="D102" s="5"/>
      <c r="E102" s="5"/>
      <c r="F102" s="5"/>
      <c r="G102" s="5"/>
      <c r="H102" s="5"/>
    </row>
    <row r="103" spans="3:8" x14ac:dyDescent="0.2">
      <c r="C103" s="5"/>
      <c r="D103" s="5"/>
      <c r="E103" s="5"/>
      <c r="F103" s="5"/>
      <c r="G103" s="5"/>
      <c r="H103" s="5"/>
    </row>
    <row r="104" spans="3:8" x14ac:dyDescent="0.2">
      <c r="C104" s="1"/>
      <c r="D104" s="1"/>
      <c r="E104" s="1"/>
    </row>
    <row r="105" spans="3:8" x14ac:dyDescent="0.2">
      <c r="C105" s="1"/>
      <c r="D105" s="1"/>
      <c r="E105" s="1"/>
    </row>
    <row r="106" spans="3:8" x14ac:dyDescent="0.2">
      <c r="C106" s="1"/>
      <c r="D106" s="1"/>
      <c r="E106" s="1"/>
    </row>
    <row r="107" spans="3:8" x14ac:dyDescent="0.2">
      <c r="C107" s="1"/>
      <c r="D107" s="1"/>
      <c r="E107" s="1"/>
    </row>
    <row r="108" spans="3:8" x14ac:dyDescent="0.2">
      <c r="C108" s="1"/>
      <c r="D108" s="1"/>
      <c r="E108" s="1"/>
    </row>
    <row r="109" spans="3:8" x14ac:dyDescent="0.2">
      <c r="C109" s="1"/>
      <c r="D109" s="1"/>
      <c r="E109" s="1"/>
    </row>
    <row r="110" spans="3:8" x14ac:dyDescent="0.2">
      <c r="C110" s="1"/>
      <c r="D110" s="1"/>
      <c r="E110" s="1"/>
    </row>
    <row r="111" spans="3:8" x14ac:dyDescent="0.2">
      <c r="C111" s="1"/>
      <c r="D111" s="1"/>
      <c r="E111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37</vt:i4>
      </vt:variant>
    </vt:vector>
  </HeadingPairs>
  <TitlesOfParts>
    <vt:vector size="40" baseType="lpstr">
      <vt:lpstr>tandem</vt:lpstr>
      <vt:lpstr>Sheet1</vt:lpstr>
      <vt:lpstr>calc</vt:lpstr>
      <vt:lpstr>A1_coef</vt:lpstr>
      <vt:lpstr>A2_coef</vt:lpstr>
      <vt:lpstr>B_coef</vt:lpstr>
      <vt:lpstr>confirm_each</vt:lpstr>
      <vt:lpstr>dP_dIm</vt:lpstr>
      <vt:lpstr>f</vt:lpstr>
      <vt:lpstr>f_calc</vt:lpstr>
      <vt:lpstr>f_in</vt:lpstr>
      <vt:lpstr>I0_1_mA</vt:lpstr>
      <vt:lpstr>I0_2_mA</vt:lpstr>
      <vt:lpstr>I1m_mA</vt:lpstr>
      <vt:lpstr>I2m_mA</vt:lpstr>
      <vt:lpstr>Ierror</vt:lpstr>
      <vt:lpstr>Im_mA</vt:lpstr>
      <vt:lpstr>Ip_1_mA</vt:lpstr>
      <vt:lpstr>Ip_2_mA</vt:lpstr>
      <vt:lpstr>Ip_mA</vt:lpstr>
      <vt:lpstr>Isc_mA</vt:lpstr>
      <vt:lpstr>kT_eV</vt:lpstr>
      <vt:lpstr>n_1</vt:lpstr>
      <vt:lpstr>n_2</vt:lpstr>
      <vt:lpstr>opt_f</vt:lpstr>
      <vt:lpstr>P1_mW</vt:lpstr>
      <vt:lpstr>P1m_mW</vt:lpstr>
      <vt:lpstr>P2m_mW</vt:lpstr>
      <vt:lpstr>Pm_mW</vt:lpstr>
      <vt:lpstr>r_1</vt:lpstr>
      <vt:lpstr>r_2</vt:lpstr>
      <vt:lpstr>SolveState</vt:lpstr>
      <vt:lpstr>u</vt:lpstr>
      <vt:lpstr>V1_V</vt:lpstr>
      <vt:lpstr>V1m_V</vt:lpstr>
      <vt:lpstr>V1oc_V</vt:lpstr>
      <vt:lpstr>V2_V</vt:lpstr>
      <vt:lpstr>V2m_V</vt:lpstr>
      <vt:lpstr>V2oc_V</vt:lpstr>
      <vt:lpstr>Voc_V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Phil Ahrenkiel</cp:lastModifiedBy>
  <dcterms:created xsi:type="dcterms:W3CDTF">2024-03-14T17:59:30Z</dcterms:created>
  <dcterms:modified xsi:type="dcterms:W3CDTF">2024-04-03T23:55:57Z</dcterms:modified>
</cp:coreProperties>
</file>