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SubcellDiv/"/>
    </mc:Choice>
  </mc:AlternateContent>
  <xr:revisionPtr revIDLastSave="0" documentId="13_ncr:1_{C5E4DDFE-638A-9940-9E5F-9C92E6452015}" xr6:coauthVersionLast="47" xr6:coauthVersionMax="47" xr10:uidLastSave="{00000000-0000-0000-0000-000000000000}"/>
  <bookViews>
    <workbookView xWindow="1420" yWindow="-20460" windowWidth="25180" windowHeight="18060" xr2:uid="{F39901F2-9B9C-3F40-87C6-17C8C951FC81}"/>
  </bookViews>
  <sheets>
    <sheet name="tandem" sheetId="1" r:id="rId1"/>
    <sheet name="calc" sheetId="4" r:id="rId2"/>
  </sheets>
  <definedNames>
    <definedName name="A1_coef">tandem!$F$44</definedName>
    <definedName name="A2_coef">tandem!$F$45</definedName>
    <definedName name="B_coef">tandem!$F$46</definedName>
    <definedName name="confirm_each">tandem!$E$23</definedName>
    <definedName name="dP_dIm">tandem!$C$42</definedName>
    <definedName name="I0_1_mA">tandem!$C$8</definedName>
    <definedName name="I0_2_mA">tandem!$C$15</definedName>
    <definedName name="I1m_mA">tandem!$F$8</definedName>
    <definedName name="I2m_mA">tandem!$F$15</definedName>
    <definedName name="Ierror">tandem!$F$31</definedName>
    <definedName name="Im_mA">tandem!$C$22</definedName>
    <definedName name="Ip_1_mA">tandem!$C$9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tandem!$C$7</definedName>
    <definedName name="n_2">tandem!$C$14</definedName>
    <definedName name="P1_mW">tandem!$C$11</definedName>
    <definedName name="P1m_mW">tandem!$F$9</definedName>
    <definedName name="P2m_mW">tandem!$F$16</definedName>
    <definedName name="Pm_mW">tandem!$C$23</definedName>
    <definedName name="r_1">tandem!$C$45</definedName>
    <definedName name="r_2">tandem!$C$46</definedName>
    <definedName name="solver_adj" localSheetId="0" hidden="1">tandem!$F$15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tandem!$C$10</definedName>
    <definedName name="V1m_V">tandem!$F$7</definedName>
    <definedName name="V1oc_V">tandem!$F$10</definedName>
    <definedName name="V2_V">tandem!$C$17</definedName>
    <definedName name="V2m_V">tandem!$F$14</definedName>
    <definedName name="V2oc_V">tandem!$F$17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D5" i="4" s="1"/>
  <c r="C6" i="4"/>
  <c r="E6" i="4" s="1"/>
  <c r="C7" i="4"/>
  <c r="D7" i="4" s="1"/>
  <c r="C8" i="4"/>
  <c r="C9" i="4"/>
  <c r="D9" i="4" s="1"/>
  <c r="C10" i="4"/>
  <c r="D10" i="4" s="1"/>
  <c r="C11" i="4"/>
  <c r="D11" i="4" s="1"/>
  <c r="C12" i="4"/>
  <c r="C13" i="4"/>
  <c r="D13" i="4" s="1"/>
  <c r="C14" i="4"/>
  <c r="E14" i="4" s="1"/>
  <c r="C15" i="4"/>
  <c r="D15" i="4" s="1"/>
  <c r="C16" i="4"/>
  <c r="C17" i="4"/>
  <c r="D17" i="4" s="1"/>
  <c r="C18" i="4"/>
  <c r="E18" i="4" s="1"/>
  <c r="C19" i="4"/>
  <c r="E19" i="4" s="1"/>
  <c r="C20" i="4"/>
  <c r="C21" i="4"/>
  <c r="D21" i="4" s="1"/>
  <c r="C22" i="4"/>
  <c r="E22" i="4" s="1"/>
  <c r="C23" i="4"/>
  <c r="D23" i="4" s="1"/>
  <c r="C24" i="4"/>
  <c r="E24" i="4" s="1"/>
  <c r="C25" i="4"/>
  <c r="D25" i="4" s="1"/>
  <c r="C26" i="4"/>
  <c r="D26" i="4" s="1"/>
  <c r="C27" i="4"/>
  <c r="D27" i="4" s="1"/>
  <c r="C28" i="4"/>
  <c r="E28" i="4" s="1"/>
  <c r="C29" i="4"/>
  <c r="D29" i="4" s="1"/>
  <c r="C30" i="4"/>
  <c r="D30" i="4" s="1"/>
  <c r="C31" i="4"/>
  <c r="D31" i="4" s="1"/>
  <c r="C32" i="4"/>
  <c r="E32" i="4" s="1"/>
  <c r="C33" i="4"/>
  <c r="D33" i="4" s="1"/>
  <c r="C34" i="4"/>
  <c r="E34" i="4" s="1"/>
  <c r="C35" i="4"/>
  <c r="E35" i="4" s="1"/>
  <c r="C36" i="4"/>
  <c r="C37" i="4"/>
  <c r="D37" i="4" s="1"/>
  <c r="C38" i="4"/>
  <c r="E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E44" i="4" s="1"/>
  <c r="C45" i="4"/>
  <c r="D45" i="4" s="1"/>
  <c r="C46" i="4"/>
  <c r="E46" i="4" s="1"/>
  <c r="C47" i="4"/>
  <c r="D47" i="4" s="1"/>
  <c r="C48" i="4"/>
  <c r="D48" i="4" s="1"/>
  <c r="C49" i="4"/>
  <c r="D49" i="4" s="1"/>
  <c r="C50" i="4"/>
  <c r="E50" i="4" s="1"/>
  <c r="C51" i="4"/>
  <c r="E51" i="4" s="1"/>
  <c r="C52" i="4"/>
  <c r="E52" i="4" s="1"/>
  <c r="C53" i="4"/>
  <c r="D53" i="4" s="1"/>
  <c r="C3" i="4"/>
  <c r="E3" i="4" s="1"/>
  <c r="D8" i="4"/>
  <c r="E8" i="4"/>
  <c r="D12" i="4"/>
  <c r="E12" i="4"/>
  <c r="D16" i="4"/>
  <c r="E16" i="4"/>
  <c r="D20" i="4"/>
  <c r="E20" i="4"/>
  <c r="D24" i="4"/>
  <c r="D28" i="4"/>
  <c r="D32" i="4"/>
  <c r="D36" i="4"/>
  <c r="E36" i="4"/>
  <c r="D44" i="4"/>
  <c r="E48" i="4"/>
  <c r="D52" i="4"/>
  <c r="E4" i="4"/>
  <c r="D4" i="4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E26" i="4" l="1"/>
  <c r="E30" i="4"/>
  <c r="E40" i="4"/>
  <c r="D34" i="4"/>
  <c r="D51" i="4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46" i="1" s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F45" i="1" l="1"/>
  <c r="F44" i="1"/>
  <c r="C52" i="1"/>
  <c r="C59" i="1"/>
  <c r="C60" i="1" s="1"/>
  <c r="C53" i="1" s="1"/>
  <c r="C5" i="1" l="1"/>
  <c r="C16" i="1" s="1"/>
  <c r="F14" i="1" l="1"/>
  <c r="F16" i="1" s="1"/>
  <c r="F29" i="1"/>
  <c r="C17" i="1"/>
  <c r="C18" i="1" s="1"/>
  <c r="J9" i="4"/>
  <c r="J25" i="4"/>
  <c r="J41" i="4"/>
  <c r="J38" i="4"/>
  <c r="J14" i="4"/>
  <c r="J46" i="4"/>
  <c r="J15" i="4"/>
  <c r="J31" i="4"/>
  <c r="J47" i="4"/>
  <c r="J50" i="4"/>
  <c r="J16" i="4"/>
  <c r="J32" i="4"/>
  <c r="J48" i="4"/>
  <c r="J13" i="4"/>
  <c r="J18" i="4"/>
  <c r="J35" i="4"/>
  <c r="J20" i="4"/>
  <c r="J17" i="4"/>
  <c r="J33" i="4"/>
  <c r="J49" i="4"/>
  <c r="J6" i="4"/>
  <c r="J22" i="4"/>
  <c r="J7" i="4"/>
  <c r="J23" i="4"/>
  <c r="J39" i="4"/>
  <c r="J26" i="4"/>
  <c r="J8" i="4"/>
  <c r="J24" i="4"/>
  <c r="J40" i="4"/>
  <c r="J21" i="4"/>
  <c r="J37" i="4"/>
  <c r="J53" i="4"/>
  <c r="J10" i="4"/>
  <c r="J30" i="4"/>
  <c r="J11" i="4"/>
  <c r="J43" i="4"/>
  <c r="J34" i="4"/>
  <c r="J28" i="4"/>
  <c r="J29" i="4"/>
  <c r="J42" i="4"/>
  <c r="J19" i="4"/>
  <c r="J4" i="4"/>
  <c r="J52" i="4"/>
  <c r="J5" i="4"/>
  <c r="J27" i="4"/>
  <c r="J12" i="4"/>
  <c r="J44" i="4"/>
  <c r="J45" i="4"/>
  <c r="J3" i="4"/>
  <c r="J51" i="4"/>
  <c r="J36" i="4"/>
  <c r="C9" i="1"/>
  <c r="F28" i="1" s="1"/>
  <c r="F17" i="1"/>
  <c r="F18" i="1"/>
  <c r="F31" i="1" l="1"/>
  <c r="C10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F11" i="1"/>
  <c r="F7" i="1"/>
  <c r="F9" i="1" s="1"/>
  <c r="F10" i="1"/>
  <c r="C26" i="1" l="1"/>
  <c r="C21" i="1"/>
  <c r="C23" i="1" s="1"/>
  <c r="C11" i="1"/>
</calcChain>
</file>

<file path=xl/sharedStrings.xml><?xml version="1.0" encoding="utf-8"?>
<sst xmlns="http://schemas.openxmlformats.org/spreadsheetml/2006/main" count="68" uniqueCount="57">
  <si>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</si>
  <si>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</si>
  <si>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</si>
  <si>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</si>
  <si>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</si>
  <si>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</si>
  <si>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</si>
  <si>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</si>
  <si>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</si>
  <si>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</si>
  <si>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</si>
  <si>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</si>
  <si>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</si>
  <si>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</si>
  <si>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</si>
  <si>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</si>
  <si>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</si>
  <si>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</si>
  <si>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</si>
  <si>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</si>
  <si>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Voc (V)</t>
  </si>
  <si>
    <t>I_1</t>
  </si>
  <si>
    <t>I_2</t>
  </si>
  <si>
    <t>Ierror</t>
  </si>
  <si>
    <t>max. power point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</si>
  <si>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</si>
  <si>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</si>
  <si>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</si>
  <si>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</si>
  <si>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</si>
  <si>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</si>
  <si>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</si>
  <si>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</si>
  <si>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</si>
  <si>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</si>
  <si>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</si>
  <si>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</si>
  <si>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</si>
  <si>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</si>
  <si>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</si>
  <si>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</si>
  <si>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</si>
  <si>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</si>
  <si>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</si>
  <si>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</si>
  <si>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</si>
  <si>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</si>
  <si>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</si>
  <si>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</si>
  <si>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</si>
  <si>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</si>
  <si>
    <t>A1</t>
  </si>
  <si>
    <t>A2</t>
  </si>
  <si>
    <t>B1</t>
  </si>
  <si>
    <t>B2</t>
  </si>
  <si>
    <t>r1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</si>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</sst>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  <xf numFmtId="0" fontId="0" fillId="0" borderId="0" xfId="0" applyBorder="1"/>
    <xf numFmtId="0" fontId="0" fillId="0" borderId="1" xfId="0" applyBorder="1"/>
    <xf numFmtId="11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1.9263169151028041</c:v>
                </c:pt>
                <c:pt idx="2">
                  <c:v>1.9448403596857282</c:v>
                </c:pt>
                <c:pt idx="3">
                  <c:v>1.955918069060322</c:v>
                </c:pt>
                <c:pt idx="4">
                  <c:v>1.9639504625549429</c:v>
                </c:pt>
                <c:pt idx="5">
                  <c:v>1.9703166068530202</c:v>
                </c:pt>
                <c:pt idx="6">
                  <c:v>1.9756307932122668</c:v>
                </c:pt>
                <c:pt idx="7">
                  <c:v>1.9802207182355405</c:v>
                </c:pt>
                <c:pt idx="8">
                  <c:v>1.9842820001748906</c:v>
                </c:pt>
                <c:pt idx="9">
                  <c:v>1.9879408275986576</c:v>
                </c:pt>
                <c:pt idx="10">
                  <c:v>1.9912833705370176</c:v>
                </c:pt>
                <c:pt idx="11">
                  <c:v>1.9943710987688537</c:v>
                </c:pt>
                <c:pt idx="12">
                  <c:v>1.9972494065459099</c:v>
                </c:pt>
                <c:pt idx="13">
                  <c:v>1.9999527731882258</c:v>
                </c:pt>
                <c:pt idx="14">
                  <c:v>2.0025080057400504</c:v>
                </c:pt>
                <c:pt idx="15">
                  <c:v>2.0049363601798911</c:v>
                </c:pt>
                <c:pt idx="16">
                  <c:v>2.0072549766343544</c:v>
                </c:pt>
                <c:pt idx="17">
                  <c:v>2.0094778787170422</c:v>
                </c:pt>
                <c:pt idx="18">
                  <c:v>2.0116166867856995</c:v>
                </c:pt>
                <c:pt idx="19">
                  <c:v>2.0136811380929709</c:v>
                </c:pt>
                <c:pt idx="20">
                  <c:v>2.015679473357598</c:v>
                </c:pt>
                <c:pt idx="21">
                  <c:v>2.017618728917062</c:v>
                </c:pt>
                <c:pt idx="22">
                  <c:v>2.019504960850298</c:v>
                </c:pt>
                <c:pt idx="23">
                  <c:v>2.0213434192363016</c:v>
                </c:pt>
                <c:pt idx="24">
                  <c:v>2.023138685295621</c:v>
                </c:pt>
                <c:pt idx="25">
                  <c:v>2.0248947805149253</c:v>
                </c:pt>
                <c:pt idx="26">
                  <c:v>2.0266152543537892</c:v>
                </c:pt>
                <c:pt idx="27">
                  <c:v>2.0283032553877125</c:v>
                </c:pt>
                <c:pt idx="28">
                  <c:v>2.0299615895046021</c:v>
                </c:pt>
                <c:pt idx="29">
                  <c:v>2.0315927678826387</c:v>
                </c:pt>
                <c:pt idx="30">
                  <c:v>2.0331990468296093</c:v>
                </c:pt>
                <c:pt idx="31">
                  <c:v>2.0347824610859915</c:v>
                </c:pt>
                <c:pt idx="32">
                  <c:v>2.0363448518377494</c:v>
                </c:pt>
                <c:pt idx="33">
                  <c:v>2.0378878904162487</c:v>
                </c:pt>
                <c:pt idx="34">
                  <c:v>2.039413098458339</c:v>
                </c:pt>
                <c:pt idx="35">
                  <c:v>2.0409218651426939</c:v>
                </c:pt>
                <c:pt idx="36">
                  <c:v>2.0424154619969581</c:v>
                </c:pt>
                <c:pt idx="37">
                  <c:v>2.0438950556753461</c:v>
                </c:pt>
                <c:pt idx="38">
                  <c:v>2.0453617190317051</c:v>
                </c:pt>
                <c:pt idx="39">
                  <c:v>2.0468164407539255</c:v>
                </c:pt>
                <c:pt idx="40">
                  <c:v>2.0482601337784567</c:v>
                </c:pt>
                <c:pt idx="41">
                  <c:v>2.0496936426658374</c:v>
                </c:pt>
                <c:pt idx="42">
                  <c:v>2.0511177500876485</c:v>
                </c:pt>
                <c:pt idx="43">
                  <c:v>2.0525331825504889</c:v>
                </c:pt>
                <c:pt idx="44">
                  <c:v>2.0539406154623672</c:v>
                </c:pt>
                <c:pt idx="45">
                  <c:v>2.0553406776303267</c:v>
                </c:pt>
                <c:pt idx="46">
                  <c:v>2.0567339552644199</c:v>
                </c:pt>
                <c:pt idx="47">
                  <c:v>2.0581209955518727</c:v>
                </c:pt>
                <c:pt idx="48">
                  <c:v>2.0595023098558447</c:v>
                </c:pt>
                <c:pt idx="49">
                  <c:v>2.0608783765853325</c:v>
                </c:pt>
                <c:pt idx="50">
                  <c:v>2.0622496437761972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0.75332741135916115</c:v>
                </c:pt>
                <c:pt idx="1">
                  <c:v>0.74447075994360745</c:v>
                </c:pt>
                <c:pt idx="2">
                  <c:v>0.73543519230130949</c:v>
                </c:pt>
                <c:pt idx="3">
                  <c:v>0.72621709408473489</c:v>
                </c:pt>
                <c:pt idx="4">
                  <c:v>0.71681277793168707</c:v>
                </c:pt>
                <c:pt idx="5">
                  <c:v>0.70721848199031256</c:v>
                </c:pt>
                <c:pt idx="6">
                  <c:v>0.69743036841430894</c:v>
                </c:pt>
                <c:pt idx="7">
                  <c:v>0.68744452182773608</c:v>
                </c:pt>
                <c:pt idx="8">
                  <c:v>0.67725694775881273</c:v>
                </c:pt>
                <c:pt idx="9">
                  <c:v>0.66686357104207539</c:v>
                </c:pt>
                <c:pt idx="10">
                  <c:v>0.65626023418825707</c:v>
                </c:pt>
                <c:pt idx="11">
                  <c:v>0.64544269572123658</c:v>
                </c:pt>
                <c:pt idx="12">
                  <c:v>0.63440662848139118</c:v>
                </c:pt>
                <c:pt idx="13">
                  <c:v>0.62314761789467554</c:v>
                </c:pt>
                <c:pt idx="14">
                  <c:v>0.61166116020673289</c:v>
                </c:pt>
                <c:pt idx="15">
                  <c:v>0.59994266068133295</c:v>
                </c:pt>
                <c:pt idx="16">
                  <c:v>0.58798743176241719</c:v>
                </c:pt>
                <c:pt idx="17">
                  <c:v>0.57579069119901283</c:v>
                </c:pt>
                <c:pt idx="18">
                  <c:v>0.56334756013226894</c:v>
                </c:pt>
                <c:pt idx="19">
                  <c:v>0.55065306114384815</c:v>
                </c:pt>
                <c:pt idx="20">
                  <c:v>0.53770211626489295</c:v>
                </c:pt>
                <c:pt idx="21">
                  <c:v>0.5244895449447704</c:v>
                </c:pt>
                <c:pt idx="22">
                  <c:v>0.51101006197878207</c:v>
                </c:pt>
                <c:pt idx="23">
                  <c:v>0.49725827539401307</c:v>
                </c:pt>
                <c:pt idx="24">
                  <c:v>0.48322868429246968</c:v>
                </c:pt>
                <c:pt idx="25">
                  <c:v>0.46891567665064776</c:v>
                </c:pt>
                <c:pt idx="26">
                  <c:v>0.45431352707464784</c:v>
                </c:pt>
                <c:pt idx="27">
                  <c:v>0.43941639450994152</c:v>
                </c:pt>
                <c:pt idx="28">
                  <c:v>0.42421831990487197</c:v>
                </c:pt>
                <c:pt idx="29">
                  <c:v>0.40871322382695346</c:v>
                </c:pt>
                <c:pt idx="30">
                  <c:v>0.3928949040310174</c:v>
                </c:pt>
                <c:pt idx="31">
                  <c:v>0.3767570329782316</c:v>
                </c:pt>
                <c:pt idx="32">
                  <c:v>0.36029315530500056</c:v>
                </c:pt>
                <c:pt idx="33">
                  <c:v>0.34349668524073357</c:v>
                </c:pt>
                <c:pt idx="34">
                  <c:v>0.32636090397344919</c:v>
                </c:pt>
                <c:pt idx="35">
                  <c:v>0.30887895696216033</c:v>
                </c:pt>
                <c:pt idx="36">
                  <c:v>0.29104385119496673</c:v>
                </c:pt>
                <c:pt idx="37">
                  <c:v>0.27284845239175687</c:v>
                </c:pt>
                <c:pt idx="38">
                  <c:v>0.25428548215040092</c:v>
                </c:pt>
                <c:pt idx="39">
                  <c:v>0.23534751503529269</c:v>
                </c:pt>
                <c:pt idx="40">
                  <c:v>0.21602697560707651</c:v>
                </c:pt>
                <c:pt idx="41">
                  <c:v>0.19631613539237081</c:v>
                </c:pt>
                <c:pt idx="42">
                  <c:v>0.176207109792275</c:v>
                </c:pt>
                <c:pt idx="43">
                  <c:v>0.15569185492842466</c:v>
                </c:pt>
                <c:pt idx="44">
                  <c:v>0.13476216442533412</c:v>
                </c:pt>
                <c:pt idx="45">
                  <c:v>0.11340966612773574</c:v>
                </c:pt>
                <c:pt idx="46">
                  <c:v>9.1625818751607038E-2</c:v>
                </c:pt>
                <c:pt idx="47">
                  <c:v>6.940190846754217E-2</c:v>
                </c:pt>
                <c:pt idx="48">
                  <c:v>4.672904541510494E-2</c:v>
                </c:pt>
                <c:pt idx="49">
                  <c:v>2.3598160146765357E-2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1.1780664517431955E-2</c:v>
                </c:pt>
                <c:pt idx="2">
                  <c:v>2.3561329034863909E-2</c:v>
                </c:pt>
                <c:pt idx="3">
                  <c:v>3.5341993552295857E-2</c:v>
                </c:pt>
                <c:pt idx="4">
                  <c:v>4.7122658069727819E-2</c:v>
                </c:pt>
                <c:pt idx="5">
                  <c:v>5.8903322587159773E-2</c:v>
                </c:pt>
                <c:pt idx="6">
                  <c:v>7.0683987104591714E-2</c:v>
                </c:pt>
                <c:pt idx="7">
                  <c:v>8.2464651622023682E-2</c:v>
                </c:pt>
                <c:pt idx="8">
                  <c:v>9.4245316139455637E-2</c:v>
                </c:pt>
                <c:pt idx="9">
                  <c:v>0.10602598065688758</c:v>
                </c:pt>
                <c:pt idx="10">
                  <c:v>0.11780664517431955</c:v>
                </c:pt>
                <c:pt idx="11">
                  <c:v>0.1295873096917515</c:v>
                </c:pt>
                <c:pt idx="12">
                  <c:v>0.14136797420918343</c:v>
                </c:pt>
                <c:pt idx="13">
                  <c:v>0.15314863872661541</c:v>
                </c:pt>
                <c:pt idx="14">
                  <c:v>0.16492930324404736</c:v>
                </c:pt>
                <c:pt idx="15">
                  <c:v>0.17670996776147929</c:v>
                </c:pt>
                <c:pt idx="16">
                  <c:v>0.18849063227891127</c:v>
                </c:pt>
                <c:pt idx="17">
                  <c:v>0.20027129679634323</c:v>
                </c:pt>
                <c:pt idx="18">
                  <c:v>0.21205196131377516</c:v>
                </c:pt>
                <c:pt idx="19">
                  <c:v>0.22383262583120711</c:v>
                </c:pt>
                <c:pt idx="20">
                  <c:v>0.23561329034863909</c:v>
                </c:pt>
                <c:pt idx="21">
                  <c:v>0.24739395486607102</c:v>
                </c:pt>
                <c:pt idx="22">
                  <c:v>0.259174619383503</c:v>
                </c:pt>
                <c:pt idx="23">
                  <c:v>0.27095528390093493</c:v>
                </c:pt>
                <c:pt idx="24">
                  <c:v>0.28273594841836686</c:v>
                </c:pt>
                <c:pt idx="25">
                  <c:v>0.29451661293579884</c:v>
                </c:pt>
                <c:pt idx="26">
                  <c:v>0.30629727745323082</c:v>
                </c:pt>
                <c:pt idx="27">
                  <c:v>0.31807794197066275</c:v>
                </c:pt>
                <c:pt idx="28">
                  <c:v>0.32985860648809473</c:v>
                </c:pt>
                <c:pt idx="29">
                  <c:v>0.3416392710055266</c:v>
                </c:pt>
                <c:pt idx="30">
                  <c:v>0.35341993552295858</c:v>
                </c:pt>
                <c:pt idx="31">
                  <c:v>0.36520060004039057</c:v>
                </c:pt>
                <c:pt idx="32">
                  <c:v>0.37698126455782255</c:v>
                </c:pt>
                <c:pt idx="33">
                  <c:v>0.38876192907525448</c:v>
                </c:pt>
                <c:pt idx="34">
                  <c:v>0.40054259359268646</c:v>
                </c:pt>
                <c:pt idx="35">
                  <c:v>0.41232325811011844</c:v>
                </c:pt>
                <c:pt idx="36">
                  <c:v>0.42410392262755031</c:v>
                </c:pt>
                <c:pt idx="37">
                  <c:v>0.43588458714498229</c:v>
                </c:pt>
                <c:pt idx="38">
                  <c:v>0.44766525166241422</c:v>
                </c:pt>
                <c:pt idx="39">
                  <c:v>0.4594459161798462</c:v>
                </c:pt>
                <c:pt idx="40">
                  <c:v>0.47122658069727819</c:v>
                </c:pt>
                <c:pt idx="41">
                  <c:v>0.48300724521471011</c:v>
                </c:pt>
                <c:pt idx="42">
                  <c:v>0.49478790973214204</c:v>
                </c:pt>
                <c:pt idx="43">
                  <c:v>0.50656857424957402</c:v>
                </c:pt>
                <c:pt idx="44">
                  <c:v>0.518349238767006</c:v>
                </c:pt>
                <c:pt idx="45">
                  <c:v>0.53012990328443788</c:v>
                </c:pt>
                <c:pt idx="46">
                  <c:v>0.54191056780186986</c:v>
                </c:pt>
                <c:pt idx="47">
                  <c:v>0.55369123231930184</c:v>
                </c:pt>
                <c:pt idx="48">
                  <c:v>0.56547189683673371</c:v>
                </c:pt>
                <c:pt idx="49">
                  <c:v>0.57725256135416569</c:v>
                </c:pt>
                <c:pt idx="50">
                  <c:v>0.58903322587159768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0.75332741125916114</c:v>
                </c:pt>
                <c:pt idx="1">
                  <c:v>0.7533274112015671</c:v>
                </c:pt>
                <c:pt idx="2">
                  <c:v>0.75332741111080248</c:v>
                </c:pt>
                <c:pt idx="3">
                  <c:v>0.75332741096776279</c:v>
                </c:pt>
                <c:pt idx="4">
                  <c:v>0.75332741074234078</c:v>
                </c:pt>
                <c:pt idx="5">
                  <c:v>0.75332741038708928</c:v>
                </c:pt>
                <c:pt idx="6">
                  <c:v>0.75332740982723423</c:v>
                </c:pt>
                <c:pt idx="7">
                  <c:v>0.75332740894493622</c:v>
                </c:pt>
                <c:pt idx="8">
                  <c:v>0.75332740755448757</c:v>
                </c:pt>
                <c:pt idx="9">
                  <c:v>0.75332740536322385</c:v>
                </c:pt>
                <c:pt idx="10">
                  <c:v>0.75332740190992387</c:v>
                </c:pt>
                <c:pt idx="11">
                  <c:v>0.75332739646773028</c:v>
                </c:pt>
                <c:pt idx="12">
                  <c:v>0.75332738789115972</c:v>
                </c:pt>
                <c:pt idx="13">
                  <c:v>0.7533273743749993</c:v>
                </c:pt>
                <c:pt idx="14">
                  <c:v>0.75332735307434162</c:v>
                </c:pt>
                <c:pt idx="15">
                  <c:v>0.75332731950578347</c:v>
                </c:pt>
                <c:pt idx="16">
                  <c:v>0.75332726660375027</c:v>
                </c:pt>
                <c:pt idx="17">
                  <c:v>0.7533271832333206</c:v>
                </c:pt>
                <c:pt idx="18">
                  <c:v>0.75332705184652682</c:v>
                </c:pt>
                <c:pt idx="19">
                  <c:v>0.75332684478882461</c:v>
                </c:pt>
                <c:pt idx="20">
                  <c:v>0.753326518478312</c:v>
                </c:pt>
                <c:pt idx="21">
                  <c:v>0.7533260042325266</c:v>
                </c:pt>
                <c:pt idx="22">
                  <c:v>0.75332519381203</c:v>
                </c:pt>
                <c:pt idx="23">
                  <c:v>0.75332391663796239</c:v>
                </c:pt>
                <c:pt idx="24">
                  <c:v>0.75332190388827802</c:v>
                </c:pt>
                <c:pt idx="25">
                  <c:v>0.7533187319155652</c:v>
                </c:pt>
                <c:pt idx="26">
                  <c:v>0.75331373307692684</c:v>
                </c:pt>
                <c:pt idx="27">
                  <c:v>0.75330585520722437</c:v>
                </c:pt>
                <c:pt idx="28">
                  <c:v>0.75329344015734212</c:v>
                </c:pt>
                <c:pt idx="29">
                  <c:v>0.7532738747837826</c:v>
                </c:pt>
                <c:pt idx="30">
                  <c:v>0.75324304092921512</c:v>
                </c:pt>
                <c:pt idx="31">
                  <c:v>0.75319444862482587</c:v>
                </c:pt>
                <c:pt idx="32">
                  <c:v>0.75311787006924202</c:v>
                </c:pt>
                <c:pt idx="33">
                  <c:v>0.75299718686129347</c:v>
                </c:pt>
                <c:pt idx="34">
                  <c:v>0.7528069973680378</c:v>
                </c:pt>
                <c:pt idx="35">
                  <c:v>0.75250727014036678</c:v>
                </c:pt>
                <c:pt idx="36">
                  <c:v>0.75203491801686351</c:v>
                </c:pt>
                <c:pt idx="37">
                  <c:v>0.75129051941713743</c:v>
                </c:pt>
                <c:pt idx="38">
                  <c:v>0.75011739189700621</c:v>
                </c:pt>
                <c:pt idx="39">
                  <c:v>0.74826861332730499</c:v>
                </c:pt>
                <c:pt idx="40">
                  <c:v>0.74535504925082297</c:v>
                </c:pt>
                <c:pt idx="41">
                  <c:v>0.74076344711583175</c:v>
                </c:pt>
                <c:pt idx="42">
                  <c:v>0.73352735770347444</c:v>
                </c:pt>
                <c:pt idx="43">
                  <c:v>0.72212371504362749</c:v>
                </c:pt>
                <c:pt idx="44">
                  <c:v>0.70415225856999664</c:v>
                </c:pt>
                <c:pt idx="45">
                  <c:v>0.67583032167514667</c:v>
                </c:pt>
                <c:pt idx="46">
                  <c:v>0.63119664879210369</c:v>
                </c:pt>
                <c:pt idx="47">
                  <c:v>0.56085665889569614</c:v>
                </c:pt>
                <c:pt idx="48">
                  <c:v>0.45000505608022467</c:v>
                </c:pt>
                <c:pt idx="49">
                  <c:v>0.27530958249747101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2.9464328358091988E-2</c:v>
                </c:pt>
                <c:pt idx="2">
                  <c:v>5.8928656716183976E-2</c:v>
                </c:pt>
                <c:pt idx="3">
                  <c:v>8.8392985074275968E-2</c:v>
                </c:pt>
                <c:pt idx="4">
                  <c:v>0.11785731343236795</c:v>
                </c:pt>
                <c:pt idx="5">
                  <c:v>0.14732164179045995</c:v>
                </c:pt>
                <c:pt idx="6">
                  <c:v>0.17678597014855194</c:v>
                </c:pt>
                <c:pt idx="7">
                  <c:v>0.20625029850664395</c:v>
                </c:pt>
                <c:pt idx="8">
                  <c:v>0.2357146268647359</c:v>
                </c:pt>
                <c:pt idx="9">
                  <c:v>0.26517895522282792</c:v>
                </c:pt>
                <c:pt idx="10">
                  <c:v>0.2946432835809199</c:v>
                </c:pt>
                <c:pt idx="11">
                  <c:v>0.32410761193901189</c:v>
                </c:pt>
                <c:pt idx="12">
                  <c:v>0.35357194029710387</c:v>
                </c:pt>
                <c:pt idx="13">
                  <c:v>0.38303626865519586</c:v>
                </c:pt>
                <c:pt idx="14">
                  <c:v>0.4125005970132879</c:v>
                </c:pt>
                <c:pt idx="15">
                  <c:v>0.44196492537137982</c:v>
                </c:pt>
                <c:pt idx="16">
                  <c:v>0.47142925372947181</c:v>
                </c:pt>
                <c:pt idx="17">
                  <c:v>0.50089358208756385</c:v>
                </c:pt>
                <c:pt idx="18">
                  <c:v>0.53035791044565583</c:v>
                </c:pt>
                <c:pt idx="19">
                  <c:v>0.55982223880374782</c:v>
                </c:pt>
                <c:pt idx="20">
                  <c:v>0.5892865671618398</c:v>
                </c:pt>
                <c:pt idx="21">
                  <c:v>0.61875089551993179</c:v>
                </c:pt>
                <c:pt idx="22">
                  <c:v>0.64821522387802377</c:v>
                </c:pt>
                <c:pt idx="23">
                  <c:v>0.67767955223611576</c:v>
                </c:pt>
                <c:pt idx="24">
                  <c:v>0.70714388059420774</c:v>
                </c:pt>
                <c:pt idx="25">
                  <c:v>0.73660820895229973</c:v>
                </c:pt>
                <c:pt idx="26">
                  <c:v>0.76607253731039171</c:v>
                </c:pt>
                <c:pt idx="27">
                  <c:v>0.79553686566848381</c:v>
                </c:pt>
                <c:pt idx="28">
                  <c:v>0.82500119402657579</c:v>
                </c:pt>
                <c:pt idx="29">
                  <c:v>0.85446552238466766</c:v>
                </c:pt>
                <c:pt idx="30">
                  <c:v>0.88392985074275965</c:v>
                </c:pt>
                <c:pt idx="31">
                  <c:v>0.91339417910085163</c:v>
                </c:pt>
                <c:pt idx="32">
                  <c:v>0.94285850745894362</c:v>
                </c:pt>
                <c:pt idx="33">
                  <c:v>0.97232283581703571</c:v>
                </c:pt>
                <c:pt idx="34">
                  <c:v>1.0017871641751277</c:v>
                </c:pt>
                <c:pt idx="35">
                  <c:v>1.0312514925332197</c:v>
                </c:pt>
                <c:pt idx="36">
                  <c:v>1.0607158208913117</c:v>
                </c:pt>
                <c:pt idx="37">
                  <c:v>1.0901801492494037</c:v>
                </c:pt>
                <c:pt idx="38">
                  <c:v>1.1196444776074956</c:v>
                </c:pt>
                <c:pt idx="39">
                  <c:v>1.1491088059655876</c:v>
                </c:pt>
                <c:pt idx="40">
                  <c:v>1.1785731343236796</c:v>
                </c:pt>
                <c:pt idx="41">
                  <c:v>1.2080374626817716</c:v>
                </c:pt>
                <c:pt idx="42">
                  <c:v>1.2375017910398636</c:v>
                </c:pt>
                <c:pt idx="43">
                  <c:v>1.2669661193979556</c:v>
                </c:pt>
                <c:pt idx="44">
                  <c:v>1.2964304477560475</c:v>
                </c:pt>
                <c:pt idx="45">
                  <c:v>1.3258947761141395</c:v>
                </c:pt>
                <c:pt idx="46">
                  <c:v>1.3553591044722315</c:v>
                </c:pt>
                <c:pt idx="47">
                  <c:v>1.3848234328303235</c:v>
                </c:pt>
                <c:pt idx="48">
                  <c:v>1.4142877611884155</c:v>
                </c:pt>
                <c:pt idx="49">
                  <c:v>1.4437520895465075</c:v>
                </c:pt>
                <c:pt idx="50">
                  <c:v>1.4732164179045995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2.246672588740839</c:v>
                </c:pt>
                <c:pt idx="1">
                  <c:v>2.2466725887400729</c:v>
                </c:pt>
                <c:pt idx="2">
                  <c:v>2.2466725887387198</c:v>
                </c:pt>
                <c:pt idx="3">
                  <c:v>2.2466725887363297</c:v>
                </c:pt>
                <c:pt idx="4">
                  <c:v>2.2466725887321086</c:v>
                </c:pt>
                <c:pt idx="5">
                  <c:v>2.2466725887246537</c:v>
                </c:pt>
                <c:pt idx="6">
                  <c:v>2.2466725887114873</c:v>
                </c:pt>
                <c:pt idx="7">
                  <c:v>2.2466725886882326</c:v>
                </c:pt>
                <c:pt idx="8">
                  <c:v>2.2466725886471615</c:v>
                </c:pt>
                <c:pt idx="9">
                  <c:v>2.246672588574623</c:v>
                </c:pt>
                <c:pt idx="10">
                  <c:v>2.2466725884465086</c:v>
                </c:pt>
                <c:pt idx="11">
                  <c:v>2.2466725882202376</c:v>
                </c:pt>
                <c:pt idx="12">
                  <c:v>2.2466725878206057</c:v>
                </c:pt>
                <c:pt idx="13">
                  <c:v>2.2466725871147912</c:v>
                </c:pt>
                <c:pt idx="14">
                  <c:v>2.2466725858682071</c:v>
                </c:pt>
                <c:pt idx="15">
                  <c:v>2.2466725836665362</c:v>
                </c:pt>
                <c:pt idx="16">
                  <c:v>2.2466725797780271</c:v>
                </c:pt>
                <c:pt idx="17">
                  <c:v>2.2466725729102857</c:v>
                </c:pt>
                <c:pt idx="18">
                  <c:v>2.2466725607807345</c:v>
                </c:pt>
                <c:pt idx="19">
                  <c:v>2.2466725393579692</c:v>
                </c:pt>
                <c:pt idx="20">
                  <c:v>2.2466725015218727</c:v>
                </c:pt>
                <c:pt idx="21">
                  <c:v>2.2466724346971567</c:v>
                </c:pt>
                <c:pt idx="22">
                  <c:v>2.2466723166738127</c:v>
                </c:pt>
                <c:pt idx="23">
                  <c:v>2.2466721082253427</c:v>
                </c:pt>
                <c:pt idx="24">
                  <c:v>2.2466717400713558</c:v>
                </c:pt>
                <c:pt idx="25">
                  <c:v>2.2466710898513864</c:v>
                </c:pt>
                <c:pt idx="26">
                  <c:v>2.2466699414568989</c:v>
                </c:pt>
                <c:pt idx="27">
                  <c:v>2.2466679132049832</c:v>
                </c:pt>
                <c:pt idx="28">
                  <c:v>2.2466643309813841</c:v>
                </c:pt>
                <c:pt idx="29">
                  <c:v>2.2466580041904107</c:v>
                </c:pt>
                <c:pt idx="30">
                  <c:v>2.2466468300459401</c:v>
                </c:pt>
                <c:pt idx="31">
                  <c:v>2.2466270946848104</c:v>
                </c:pt>
                <c:pt idx="32">
                  <c:v>2.2465922388191157</c:v>
                </c:pt>
                <c:pt idx="33">
                  <c:v>2.2465306776768927</c:v>
                </c:pt>
                <c:pt idx="34">
                  <c:v>2.2464219506619063</c:v>
                </c:pt>
                <c:pt idx="35">
                  <c:v>2.2462299210250101</c:v>
                </c:pt>
                <c:pt idx="36">
                  <c:v>2.2458907653749551</c:v>
                </c:pt>
                <c:pt idx="37">
                  <c:v>2.2452917611961021</c:v>
                </c:pt>
                <c:pt idx="38">
                  <c:v>2.2442338221459197</c:v>
                </c:pt>
                <c:pt idx="39">
                  <c:v>2.2423653292815717</c:v>
                </c:pt>
                <c:pt idx="40">
                  <c:v>2.2390652662169592</c:v>
                </c:pt>
                <c:pt idx="41">
                  <c:v>2.2332368167547134</c:v>
                </c:pt>
                <c:pt idx="42">
                  <c:v>2.2229428246494609</c:v>
                </c:pt>
                <c:pt idx="43">
                  <c:v>2.2047619561098246</c:v>
                </c:pt>
                <c:pt idx="44">
                  <c:v>2.1726515777963562</c:v>
                </c:pt>
                <c:pt idx="45">
                  <c:v>2.1159394139530154</c:v>
                </c:pt>
                <c:pt idx="46">
                  <c:v>2.015776485432025</c:v>
                </c:pt>
                <c:pt idx="47">
                  <c:v>1.8388724216474936</c:v>
                </c:pt>
                <c:pt idx="48">
                  <c:v>1.5264309999999348</c:v>
                </c:pt>
                <c:pt idx="49">
                  <c:v>0.97460850438983559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0.000000</c:formatCode>
                <c:ptCount val="1"/>
                <c:pt idx="0">
                  <c:v>1.9370198334170872</c:v>
                </c:pt>
              </c:numCache>
            </c:numRef>
          </c:xVal>
          <c:yVal>
            <c:numRef>
              <c:f>tandem!$C$22</c:f>
              <c:numCache>
                <c:formatCode>0.000000</c:formatCode>
                <c:ptCount val="1"/>
                <c:pt idx="0">
                  <c:v>0.74001776602351788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tandem!$F$7</c:f>
              <c:numCache>
                <c:formatCode>0.0000</c:formatCode>
                <c:ptCount val="1"/>
                <c:pt idx="0">
                  <c:v>0.51053789469407496</c:v>
                </c:pt>
              </c:numCache>
            </c:numRef>
          </c:xVal>
          <c:yVal>
            <c:numRef>
              <c:f>tandem!$F$8</c:f>
              <c:numCache>
                <c:formatCode>0.0000</c:formatCode>
                <c:ptCount val="1"/>
                <c:pt idx="0">
                  <c:v>0.71695566860998483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tandem!$F$14</c:f>
              <c:numCache>
                <c:formatCode>0.0000</c:formatCode>
                <c:ptCount val="1"/>
                <c:pt idx="0">
                  <c:v>1.3040983047018364</c:v>
                </c:pt>
              </c:numCache>
            </c:numRef>
          </c:xVal>
          <c:yVal>
            <c:numRef>
              <c:f>tandem!$F$15</c:f>
              <c:numCache>
                <c:formatCode>0.0000</c:formatCode>
                <c:ptCount val="1"/>
                <c:pt idx="0">
                  <c:v>2.1608418578760764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I (mA)</a:t>
                </a:r>
              </a:p>
              <a:p>
                <a:pPr>
                  <a:defRPr sz="1400" baseline="0"/>
                </a:pPr>
                <a:endParaRPr lang="en-US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2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26</xdr:row>
      <xdr:rowOff>152400</xdr:rowOff>
    </xdr:from>
    <xdr:to>
      <xdr:col>6</xdr:col>
      <xdr:colOff>368300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21</xdr:row>
          <xdr:rowOff>101600</xdr:rowOff>
        </xdr:from>
        <xdr:to>
          <xdr:col>5</xdr:col>
          <xdr:colOff>406400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21</xdr:row>
          <xdr:rowOff>139700</xdr:rowOff>
        </xdr:from>
        <xdr:to>
          <xdr:col>8</xdr:col>
          <xdr:colOff>50800</xdr:colOff>
          <xdr:row>23</xdr:row>
          <xdr:rowOff>114300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progress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2:AP112"/>
  <sheetViews>
    <sheetView tabSelected="1" zoomScaleNormal="100" workbookViewId="0">
      <selection activeCell="P32" sqref="P32"/>
    </sheetView>
  </sheetViews>
  <sheetFormatPr baseColWidth="10" defaultRowHeight="16" x14ac:dyDescent="0.2"/>
  <cols>
    <col min="3" max="3" width="16" customWidth="1"/>
    <col min="8" max="8" width="3.6640625" customWidth="1"/>
    <col min="11" max="11" width="5" customWidth="1"/>
  </cols>
  <sheetData>
    <row r="2" spans="1:42" x14ac:dyDescent="0.2">
      <c r="I2" s="13" t="s">
        <v>50</v>
      </c>
      <c r="J2" s="13"/>
      <c r="M2" s="7"/>
    </row>
    <row r="3" spans="1:42" x14ac:dyDescent="0.2">
      <c r="B3" t="s">
        <v>0</v>
      </c>
      <c r="C3" s="9">
        <v>3</v>
      </c>
      <c r="I3" s="13" t="s">
        <v>0</v>
      </c>
      <c r="J3" s="14">
        <v>3</v>
      </c>
    </row>
    <row r="4" spans="1:42" x14ac:dyDescent="0.2">
      <c r="B4" t="s">
        <v>1</v>
      </c>
      <c r="C4" s="11">
        <v>2.5899999999999999E-2</v>
      </c>
      <c r="I4" s="13" t="s">
        <v>1</v>
      </c>
      <c r="J4" s="14">
        <v>2.5899999999999999E-2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7">
        <f>tandem!C60</f>
        <v>0.74889086291361295</v>
      </c>
      <c r="I5" s="13" t="s">
        <v>9</v>
      </c>
      <c r="J5" s="14">
        <v>1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3" t="s">
        <v>6</v>
      </c>
      <c r="J6" s="15">
        <v>1E-10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28</v>
      </c>
      <c r="B7" t="s">
        <v>9</v>
      </c>
      <c r="C7" s="10">
        <v>1</v>
      </c>
      <c r="E7" t="s">
        <v>29</v>
      </c>
      <c r="F7" s="2">
        <f>C7*C4*LN((C9-F8)/C8+1)</f>
        <v>0.51053789469407496</v>
      </c>
      <c r="I7" s="13" t="s">
        <v>10</v>
      </c>
      <c r="J7" s="14">
        <v>2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B8" t="s">
        <v>6</v>
      </c>
      <c r="C8" s="12">
        <v>1E-10</v>
      </c>
      <c r="E8" t="s">
        <v>30</v>
      </c>
      <c r="F8" s="2">
        <v>0.71695566860998483</v>
      </c>
      <c r="I8" s="13" t="s">
        <v>7</v>
      </c>
      <c r="J8" s="15">
        <v>9.9999999999999998E-13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2</v>
      </c>
      <c r="C9" s="7">
        <f>(1-C5)*C3</f>
        <v>0.75332741125916114</v>
      </c>
      <c r="E9" t="s">
        <v>31</v>
      </c>
      <c r="F9" s="2">
        <f>F7*F8</f>
        <v>0.36603303764112455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4</v>
      </c>
      <c r="C10" s="7">
        <f>C7*C4*LN((C9-C22)/C8+1)</f>
        <v>0.48450054208670357</v>
      </c>
      <c r="E10" t="s">
        <v>38</v>
      </c>
      <c r="F10" s="2">
        <f>C7*C4*LN((C9-0)/C8+1)</f>
        <v>0.58903322587159768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48</v>
      </c>
      <c r="C11" s="2">
        <f>C10*C22</f>
        <v>0.35853900879218575</v>
      </c>
      <c r="E11" t="s">
        <v>39</v>
      </c>
      <c r="F11" s="2">
        <f>C9</f>
        <v>0.75332741125916114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34</v>
      </c>
      <c r="B14" t="s">
        <v>10</v>
      </c>
      <c r="C14" s="10">
        <v>2</v>
      </c>
      <c r="E14" t="s">
        <v>33</v>
      </c>
      <c r="F14" s="2">
        <f>C14*C4*LN((C16-F15)/C15+1)</f>
        <v>1.3040983047018364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12">
        <v>9.9999999999999998E-13</v>
      </c>
      <c r="E15" t="s">
        <v>35</v>
      </c>
      <c r="F15" s="2">
        <v>2.1608418578760764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7">
        <f>C5*C3</f>
        <v>2.246672588740839</v>
      </c>
      <c r="E16" t="s">
        <v>36</v>
      </c>
      <c r="F16" s="2">
        <f>F14*F15</f>
        <v>2.817950203584958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7">
        <f>C14*C4*LN((C16-C22)/C15+1)</f>
        <v>1.4525192913303837</v>
      </c>
      <c r="E17" t="s">
        <v>40</v>
      </c>
      <c r="F17" s="2">
        <f>C14*C4*LN((C16-0)/C15+1)</f>
        <v>1.4732164179045995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49</v>
      </c>
      <c r="C18">
        <f>C17*C22</f>
        <v>1.074890081076374</v>
      </c>
      <c r="E18" t="s">
        <v>41</v>
      </c>
      <c r="F18" s="2">
        <f>C16</f>
        <v>2.246672588740839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24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26</v>
      </c>
      <c r="C21" s="7">
        <f>C10+C17</f>
        <v>1.9370198334170872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27</v>
      </c>
      <c r="C22" s="7">
        <v>0.74001776602351788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32</v>
      </c>
      <c r="C23" s="8">
        <f>C22*C21</f>
        <v>1.4334290898685595</v>
      </c>
      <c r="E23" t="b">
        <v>0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20</v>
      </c>
      <c r="C25" s="7">
        <f>C7*C4*LN((C9-0)/C8+1)+C14*C4*LN((C16-0)/C15+1)</f>
        <v>2.0622496437761972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7">
        <f>F28</f>
        <v>0.75332741135916115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21</v>
      </c>
      <c r="F28" s="2">
        <f>Ip_1_mA-I0_1_mA*(EXP(u/n_1)-1)</f>
        <v>0.75332741135916115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22</v>
      </c>
      <c r="F29" s="2">
        <f>Ip_2_mA-I0_2_mA*(EXP(-u/n_2)-1)</f>
        <v>0.75348235499097704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25</v>
      </c>
      <c r="E30" t="s">
        <v>19</v>
      </c>
      <c r="F30" s="2">
        <v>-56.063872086965006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23</v>
      </c>
      <c r="F31" s="2">
        <f>tandem!F28-tandem!F29</f>
        <v>-1.5494363181589588E-4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tandem!C7+tandem!C14</f>
        <v>3</v>
      </c>
      <c r="E44" t="s">
        <v>51</v>
      </c>
      <c r="F44" s="1">
        <f>C55+C57+C58</f>
        <v>2.0000000000663332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55</v>
      </c>
      <c r="C45">
        <f>tandem!C7/C44</f>
        <v>0.33333333333333331</v>
      </c>
      <c r="E45" t="s">
        <v>52</v>
      </c>
      <c r="F45" s="1">
        <f>C48+C50+C51</f>
        <v>0.99999999993366662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56</v>
      </c>
      <c r="C46">
        <f>tandem!C14/C44</f>
        <v>0.66666666666666663</v>
      </c>
      <c r="E46" t="s">
        <v>53</v>
      </c>
      <c r="F46" s="3">
        <f>B56</f>
        <v>0.33333333333333331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E47" t="s">
        <v>54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0.33333333333333337</v>
      </c>
      <c r="C48">
        <f>B48*tandem!C3</f>
        <v>1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-0.33333333333333331</v>
      </c>
      <c r="C49" s="3">
        <f t="shared" si="0"/>
        <v>-0.24667258867450595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-0.66666666666666663</v>
      </c>
      <c r="C50" s="1">
        <f t="shared" si="0"/>
        <v>-6.6666666666666669E-11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0.33333333333333331</v>
      </c>
      <c r="C51" s="1">
        <f t="shared" si="0"/>
        <v>3.3333333333333329E-13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0.7533274112591607</v>
      </c>
      <c r="H52" s="1"/>
    </row>
    <row r="53" spans="2:39" x14ac:dyDescent="0.2">
      <c r="B53" s="1" t="s">
        <v>13</v>
      </c>
      <c r="C53" s="4">
        <f>1-C60</f>
        <v>0.25110913708638705</v>
      </c>
      <c r="H53" s="1"/>
    </row>
    <row r="54" spans="2:39" x14ac:dyDescent="0.2">
      <c r="H54" s="1"/>
    </row>
    <row r="55" spans="2:39" x14ac:dyDescent="0.2">
      <c r="B55">
        <f>C46</f>
        <v>0.66666666666666663</v>
      </c>
      <c r="C55">
        <f>B55*Ip_mA</f>
        <v>2</v>
      </c>
      <c r="H55" s="1"/>
    </row>
    <row r="56" spans="2:39" x14ac:dyDescent="0.2">
      <c r="B56">
        <f>C46-C45</f>
        <v>0.33333333333333331</v>
      </c>
      <c r="C56" s="3">
        <f>B56*Im_mA</f>
        <v>0.24667258867450595</v>
      </c>
      <c r="H56" s="1"/>
    </row>
    <row r="57" spans="2:39" x14ac:dyDescent="0.2">
      <c r="B57">
        <f>C46</f>
        <v>0.66666666666666663</v>
      </c>
      <c r="C57" s="1">
        <f>B57*I0_1_mA</f>
        <v>6.6666666666666669E-11</v>
      </c>
      <c r="H57" s="1"/>
    </row>
    <row r="58" spans="2:39" x14ac:dyDescent="0.2">
      <c r="B58">
        <f>-C45</f>
        <v>-0.33333333333333331</v>
      </c>
      <c r="C58" s="1">
        <f>B58*I0_2_mA</f>
        <v>-3.3333333333333329E-13</v>
      </c>
      <c r="H58" s="1"/>
    </row>
    <row r="59" spans="2:39" x14ac:dyDescent="0.2">
      <c r="B59" t="s">
        <v>15</v>
      </c>
      <c r="C59">
        <f>SUM(C55:C58)</f>
        <v>2.246672588740839</v>
      </c>
      <c r="H59" s="1"/>
    </row>
    <row r="60" spans="2:39" x14ac:dyDescent="0.2">
      <c r="B60" s="1" t="s">
        <v>12</v>
      </c>
      <c r="C60" s="4">
        <f>C59/Ip_mA</f>
        <v>0.74889086291361295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533400</xdr:colOff>
                    <xdr:row>21</xdr:row>
                    <xdr:rowOff>101600</xdr:rowOff>
                  </from>
                  <to>
                    <xdr:col>5</xdr:col>
                    <xdr:colOff>406400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5</xdr:col>
                    <xdr:colOff>457200</xdr:colOff>
                    <xdr:row>21</xdr:row>
                    <xdr:rowOff>139700</xdr:rowOff>
                  </from>
                  <to>
                    <xdr:col>8</xdr:col>
                    <xdr:colOff>50800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L20" sqref="L20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43</v>
      </c>
      <c r="H2" t="s">
        <v>44</v>
      </c>
      <c r="I2" s="2" t="s">
        <v>37</v>
      </c>
      <c r="J2" t="s">
        <v>42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0.75332741135916115</v>
      </c>
      <c r="D3" s="2" t="e">
        <f>tandem!C$7*tandem!C$4*LN((M$28-C3)/tandem!C$8+1)</f>
        <v>#NUM!</v>
      </c>
      <c r="E3" s="2">
        <f>tandem!C$14*tandem!C$4*LN((M$29-C3)/tandem!C$15+1)</f>
        <v>1.4520596618958361</v>
      </c>
      <c r="F3" s="2">
        <v>0</v>
      </c>
      <c r="G3" s="2">
        <f>A3*calc!M$30</f>
        <v>0</v>
      </c>
      <c r="H3" s="2">
        <f>A3*calc!M$31</f>
        <v>0</v>
      </c>
      <c r="I3" s="2">
        <f>tandem!C$9-tandem!C$8*(EXP(G3/tandem!C$7/tandem!C$4)-1)</f>
        <v>0.75332741125916114</v>
      </c>
      <c r="J3" s="2">
        <f>tandem!C$16-tandem!C$15*(EXP(H3/tandem!C$14/tandem!C$4)-1)</f>
        <v>2.246672588740839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0.74447075994360745</v>
      </c>
      <c r="D4" s="2">
        <f>tandem!C$7*tandem!C$4*LN((M$28-C4)/tandem!C$8+1)</f>
        <v>0.47395094796176157</v>
      </c>
      <c r="E4" s="2">
        <f>tandem!C$14*tandem!C$4*LN((M$29-C4)/tandem!C$15+1)</f>
        <v>1.4523659671410425</v>
      </c>
      <c r="F4" s="2">
        <f t="shared" ref="F4:F35" si="2">D4+E4</f>
        <v>1.9263169151028041</v>
      </c>
      <c r="G4" s="2">
        <f>A4*calc!M$30</f>
        <v>1.1780664517431955E-2</v>
      </c>
      <c r="H4" s="2">
        <f>A4*calc!M$31</f>
        <v>2.9464328358091988E-2</v>
      </c>
      <c r="I4" s="2">
        <f>tandem!C$9-tandem!C$8*(EXP(G4/tandem!C$7/tandem!C$4)-1)</f>
        <v>0.7533274112015671</v>
      </c>
      <c r="J4" s="2">
        <f>tandem!C$16-tandem!C$15*(EXP(H4/tandem!C$14/tandem!C$4)-1)</f>
        <v>2.2466725887400729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0.73543519230130949</v>
      </c>
      <c r="D5" s="2">
        <f>tandem!C$7*tandem!C$4*LN((M$28-C5)/tandem!C$8+1)</f>
        <v>0.49216375491668174</v>
      </c>
      <c r="E5" s="2">
        <f>tandem!C$14*tandem!C$4*LN((M$29-C5)/tandem!C$15+1)</f>
        <v>1.4526766047690465</v>
      </c>
      <c r="F5" s="2">
        <f t="shared" si="2"/>
        <v>1.9448403596857282</v>
      </c>
      <c r="G5" s="2">
        <f>A5*calc!M$30</f>
        <v>2.3561329034863909E-2</v>
      </c>
      <c r="H5" s="2">
        <f>A5*calc!M$31</f>
        <v>5.8928656716183976E-2</v>
      </c>
      <c r="I5" s="2">
        <f>tandem!C$9-tandem!C$8*(EXP(G5/tandem!C$7/tandem!C$4)-1)</f>
        <v>0.75332741111080248</v>
      </c>
      <c r="J5" s="2">
        <f>tandem!C$16-tandem!C$15*(EXP(H5/tandem!C$14/tandem!C$4)-1)</f>
        <v>2.2466725887387198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0.72621709408473489</v>
      </c>
      <c r="D6" s="2">
        <f>tandem!C$7*tandem!C$4*LN((M$28-C6)/tandem!C$8+1)</f>
        <v>0.50292645945649472</v>
      </c>
      <c r="E6" s="2">
        <f>tandem!C$14*tandem!C$4*LN((M$29-C6)/tandem!C$15+1)</f>
        <v>1.4529916096038271</v>
      </c>
      <c r="F6" s="2">
        <f t="shared" si="2"/>
        <v>1.955918069060322</v>
      </c>
      <c r="G6" s="2">
        <f>A6*calc!M$30</f>
        <v>3.5341993552295857E-2</v>
      </c>
      <c r="H6" s="2">
        <f>A6*calc!M$31</f>
        <v>8.8392985074275968E-2</v>
      </c>
      <c r="I6" s="2">
        <f>tandem!C$9-tandem!C$8*(EXP(G6/tandem!C$7/tandem!C$4)-1)</f>
        <v>0.75332741096776279</v>
      </c>
      <c r="J6" s="2">
        <f>tandem!C$16-tandem!C$15*(EXP(H6/tandem!C$14/tandem!C$4)-1)</f>
        <v>2.2466725887363297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0.71681277793168707</v>
      </c>
      <c r="D7" s="2">
        <f>tandem!C$7*tandem!C$4*LN((M$28-C7)/tandem!C$8+1)</f>
        <v>0.51063944654788784</v>
      </c>
      <c r="E7" s="2">
        <f>tandem!C$14*tandem!C$4*LN((M$29-C7)/tandem!C$15+1)</f>
        <v>1.453311016007055</v>
      </c>
      <c r="F7" s="2">
        <f t="shared" si="2"/>
        <v>1.9639504625549429</v>
      </c>
      <c r="G7" s="2">
        <f>A7*calc!M$30</f>
        <v>4.7122658069727819E-2</v>
      </c>
      <c r="H7" s="2">
        <f>A7*calc!M$31</f>
        <v>0.11785731343236795</v>
      </c>
      <c r="I7" s="2">
        <f>tandem!C$9-tandem!C$8*(EXP(G7/tandem!C$7/tandem!C$4)-1)</f>
        <v>0.75332741074234078</v>
      </c>
      <c r="J7" s="2">
        <f>tandem!C$16-tandem!C$15*(EXP(H7/tandem!C$14/tandem!C$4)-1)</f>
        <v>2.2466725887321086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0.70721848199031256</v>
      </c>
      <c r="D8" s="2">
        <f>tandem!C$7*tandem!C$4*LN((M$28-C8)/tandem!C$8+1)</f>
        <v>0.51668174899608121</v>
      </c>
      <c r="E8" s="2">
        <f>tandem!C$14*tandem!C$4*LN((M$29-C8)/tandem!C$15+1)</f>
        <v>1.4536348578569389</v>
      </c>
      <c r="F8" s="2">
        <f t="shared" si="2"/>
        <v>1.9703166068530202</v>
      </c>
      <c r="G8" s="2">
        <f>A8*calc!M$30</f>
        <v>5.8903322587159773E-2</v>
      </c>
      <c r="H8" s="2">
        <f>A8*calc!M$31</f>
        <v>0.14732164179045995</v>
      </c>
      <c r="I8" s="2">
        <f>tandem!C$9-tandem!C$8*(EXP(G8/tandem!C$7/tandem!C$4)-1)</f>
        <v>0.75332741038708928</v>
      </c>
      <c r="J8" s="2">
        <f>tandem!C$16-tandem!C$15*(EXP(H8/tandem!C$14/tandem!C$4)-1)</f>
        <v>2.2466725887246537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0.69743036841430894</v>
      </c>
      <c r="D9" s="2">
        <f>tandem!C$7*tandem!C$4*LN((M$28-C9)/tandem!C$8+1)</f>
        <v>0.52166762468516692</v>
      </c>
      <c r="E9" s="2">
        <f>tandem!C$14*tandem!C$4*LN((M$29-C9)/tandem!C$15+1)</f>
        <v>1.4539631685270997</v>
      </c>
      <c r="F9" s="2">
        <f t="shared" si="2"/>
        <v>1.9756307932122668</v>
      </c>
      <c r="G9" s="2">
        <f>A9*calc!M$30</f>
        <v>7.0683987104591714E-2</v>
      </c>
      <c r="H9" s="2">
        <f>A9*calc!M$31</f>
        <v>0.17678597014855194</v>
      </c>
      <c r="I9" s="2">
        <f>tandem!C$9-tandem!C$8*(EXP(G9/tandem!C$7/tandem!C$4)-1)</f>
        <v>0.75332740982723423</v>
      </c>
      <c r="J9" s="2">
        <f>tandem!C$16-tandem!C$15*(EXP(H9/tandem!C$14/tandem!C$4)-1)</f>
        <v>2.2466725887114873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0.68744452182773608</v>
      </c>
      <c r="D10" s="2">
        <f>tandem!C$7*tandem!C$4*LN((M$28-C10)/tandem!C$8+1)</f>
        <v>0.52592473737003564</v>
      </c>
      <c r="E10" s="2">
        <f>tandem!C$14*tandem!C$4*LN((M$29-C10)/tandem!C$15+1)</f>
        <v>1.4542959808655047</v>
      </c>
      <c r="F10" s="2">
        <f t="shared" si="2"/>
        <v>1.9802207182355405</v>
      </c>
      <c r="G10" s="2">
        <f>A10*calc!M$30</f>
        <v>8.2464651622023682E-2</v>
      </c>
      <c r="H10" s="2">
        <f>A10*calc!M$31</f>
        <v>0.20625029850664395</v>
      </c>
      <c r="I10" s="2">
        <f>tandem!C$9-tandem!C$8*(EXP(G10/tandem!C$7/tandem!C$4)-1)</f>
        <v>0.75332740894493622</v>
      </c>
      <c r="J10" s="2">
        <f>tandem!C$16-tandem!C$15*(EXP(H10/tandem!C$14/tandem!C$4)-1)</f>
        <v>2.2466725886882326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0.67725694775881273</v>
      </c>
      <c r="D11" s="2">
        <f>tandem!C$7*tandem!C$4*LN((M$28-C11)/tandem!C$8+1)</f>
        <v>0.52964867300141349</v>
      </c>
      <c r="E11" s="2">
        <f>tandem!C$14*tandem!C$4*LN((M$29-C11)/tandem!C$15+1)</f>
        <v>1.454633327173477</v>
      </c>
      <c r="F11" s="2">
        <f t="shared" si="2"/>
        <v>1.9842820001748906</v>
      </c>
      <c r="G11" s="2">
        <f>A11*calc!M$30</f>
        <v>9.4245316139455637E-2</v>
      </c>
      <c r="H11" s="2">
        <f>A11*calc!M$31</f>
        <v>0.2357146268647359</v>
      </c>
      <c r="I11" s="2">
        <f>tandem!C$9-tandem!C$8*(EXP(G11/tandem!C$7/tandem!C$4)-1)</f>
        <v>0.75332740755448757</v>
      </c>
      <c r="J11" s="2">
        <f>tandem!C$16-tandem!C$15*(EXP(H11/tandem!C$14/tandem!C$4)-1)</f>
        <v>2.2466725886471615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0.66686357104207539</v>
      </c>
      <c r="D12" s="2">
        <f>tandem!C$7*tandem!C$4*LN((M$28-C12)/tandem!C$8+1)</f>
        <v>0.53296558841384445</v>
      </c>
      <c r="E12" s="2">
        <f>tandem!C$14*tandem!C$4*LN((M$29-C12)/tandem!C$15+1)</f>
        <v>1.4549752391848132</v>
      </c>
      <c r="F12" s="2">
        <f t="shared" si="2"/>
        <v>1.9879408275986576</v>
      </c>
      <c r="G12" s="2">
        <f>A12*calc!M$30</f>
        <v>0.10602598065688758</v>
      </c>
      <c r="H12" s="2">
        <f>A12*calc!M$31</f>
        <v>0.26517895522282792</v>
      </c>
      <c r="I12" s="2">
        <f>tandem!C$9-tandem!C$8*(EXP(G12/tandem!C$7/tandem!C$4)-1)</f>
        <v>0.75332740536322385</v>
      </c>
      <c r="J12" s="2">
        <f>tandem!C$16-tandem!C$15*(EXP(H12/tandem!C$14/tandem!C$4)-1)</f>
        <v>2.246672588574623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0.65626023418825707</v>
      </c>
      <c r="D13" s="2">
        <f>tandem!C$7*tandem!C$4*LN((M$28-C13)/tandem!C$8+1)</f>
        <v>0.53596162249198664</v>
      </c>
      <c r="E13" s="2">
        <f>tandem!C$14*tandem!C$4*LN((M$29-C13)/tandem!C$15+1)</f>
        <v>1.4553217480450311</v>
      </c>
      <c r="F13" s="2">
        <f t="shared" si="2"/>
        <v>1.9912833705370176</v>
      </c>
      <c r="G13" s="2">
        <f>A13*calc!M$30</f>
        <v>0.11780664517431955</v>
      </c>
      <c r="H13" s="2">
        <f>A13*calc!M$31</f>
        <v>0.2946432835809199</v>
      </c>
      <c r="I13" s="2">
        <f>tandem!C$9-tandem!C$8*(EXP(G13/tandem!C$7/tandem!C$4)-1)</f>
        <v>0.75332740190992387</v>
      </c>
      <c r="J13" s="2">
        <f>tandem!C$16-tandem!C$15*(EXP(H13/tandem!C$14/tandem!C$4)-1)</f>
        <v>2.2466725884465086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0.64544269572123658</v>
      </c>
      <c r="D14" s="2">
        <f>tandem!C$7*tandem!C$4*LN((M$28-C14)/tandem!C$8+1)</f>
        <v>0.53869821447807631</v>
      </c>
      <c r="E14" s="2">
        <f>tandem!C$14*tandem!C$4*LN((M$29-C14)/tandem!C$15+1)</f>
        <v>1.4556728842907773</v>
      </c>
      <c r="F14" s="2">
        <f t="shared" si="2"/>
        <v>1.9943710987688537</v>
      </c>
      <c r="G14" s="2">
        <f>A14*calc!M$30</f>
        <v>0.1295873096917515</v>
      </c>
      <c r="H14" s="2">
        <f>A14*calc!M$31</f>
        <v>0.32410761193901189</v>
      </c>
      <c r="I14" s="2">
        <f>tandem!C$9-tandem!C$8*(EXP(G14/tandem!C$7/tandem!C$4)-1)</f>
        <v>0.75332739646773028</v>
      </c>
      <c r="J14" s="2">
        <f>tandem!C$16-tandem!C$15*(EXP(H14/tandem!C$14/tandem!C$4)-1)</f>
        <v>2.2466725882202376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0.63440662848139118</v>
      </c>
      <c r="D15" s="2">
        <f>tandem!C$7*tandem!C$4*LN((M$28-C15)/tandem!C$8+1)</f>
        <v>0.54122072871649329</v>
      </c>
      <c r="E15" s="2">
        <f>tandem!C$14*tandem!C$4*LN((M$29-C15)/tandem!C$15+1)</f>
        <v>1.4560286778294167</v>
      </c>
      <c r="F15" s="2">
        <f t="shared" si="2"/>
        <v>1.9972494065459099</v>
      </c>
      <c r="G15" s="2">
        <f>A15*calc!M$30</f>
        <v>0.14136797420918343</v>
      </c>
      <c r="H15" s="2">
        <f>A15*calc!M$31</f>
        <v>0.35357194029710387</v>
      </c>
      <c r="I15" s="2">
        <f>tandem!C$9-tandem!C$8*(EXP(G15/tandem!C$7/tandem!C$4)-1)</f>
        <v>0.75332738789115972</v>
      </c>
      <c r="J15" s="2">
        <f>tandem!C$16-tandem!C$15*(EXP(H15/tandem!C$14/tandem!C$4)-1)</f>
        <v>2.2466725878206057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0.62314761789467554</v>
      </c>
      <c r="D16" s="2">
        <f>tandem!C$7*tandem!C$4*LN((M$28-C16)/tandem!C$8+1)</f>
        <v>0.54356361526939001</v>
      </c>
      <c r="E16" s="2">
        <f>tandem!C$14*tandem!C$4*LN((M$29-C16)/tandem!C$15+1)</f>
        <v>1.4563891579188357</v>
      </c>
      <c r="F16" s="2">
        <f t="shared" si="2"/>
        <v>1.9999527731882258</v>
      </c>
      <c r="G16" s="2">
        <f>A16*calc!M$30</f>
        <v>0.15314863872661541</v>
      </c>
      <c r="H16" s="2">
        <f>A16*calc!M$31</f>
        <v>0.38303626865519586</v>
      </c>
      <c r="I16" s="2">
        <f>tandem!C$9-tandem!C$8*(EXP(G16/tandem!C$7/tandem!C$4)-1)</f>
        <v>0.7533273743749993</v>
      </c>
      <c r="J16" s="2">
        <f>tandem!C$16-tandem!C$15*(EXP(H16/tandem!C$14/tandem!C$4)-1)</f>
        <v>2.2466725871147912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0.61166116020673289</v>
      </c>
      <c r="D17" s="2">
        <f>tandem!C$7*tandem!C$4*LN((M$28-C17)/tandem!C$8+1)</f>
        <v>0.54575365259256781</v>
      </c>
      <c r="E17" s="2">
        <f>tandem!C$14*tandem!C$4*LN((M$29-C17)/tandem!C$15+1)</f>
        <v>1.4567543531474827</v>
      </c>
      <c r="F17" s="2">
        <f t="shared" si="2"/>
        <v>2.0025080057400504</v>
      </c>
      <c r="G17" s="2">
        <f>A17*calc!M$30</f>
        <v>0.16492930324404736</v>
      </c>
      <c r="H17" s="2">
        <f>A17*calc!M$31</f>
        <v>0.4125005970132879</v>
      </c>
      <c r="I17" s="2">
        <f>tandem!C$9-tandem!C$8*(EXP(G17/tandem!C$7/tandem!C$4)-1)</f>
        <v>0.75332735307434162</v>
      </c>
      <c r="J17" s="2">
        <f>tandem!C$16-tandem!C$15*(EXP(H17/tandem!C$14/tandem!C$4)-1)</f>
        <v>2.2466725858682071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0.59994266068133295</v>
      </c>
      <c r="D18" s="2">
        <f>tandem!C$7*tandem!C$4*LN((M$28-C18)/tandem!C$8+1)</f>
        <v>0.5478120687652186</v>
      </c>
      <c r="E18" s="2">
        <f>tandem!C$14*tandem!C$4*LN((M$29-C18)/tandem!C$15+1)</f>
        <v>1.4571242914146727</v>
      </c>
      <c r="F18" s="2">
        <f t="shared" si="2"/>
        <v>2.0049363601798911</v>
      </c>
      <c r="G18" s="2">
        <f>A18*calc!M$30</f>
        <v>0.17670996776147929</v>
      </c>
      <c r="H18" s="2">
        <f>A18*calc!M$31</f>
        <v>0.44196492537137982</v>
      </c>
      <c r="I18" s="2">
        <f>tandem!C$9-tandem!C$8*(EXP(G18/tandem!C$7/tandem!C$4)-1)</f>
        <v>0.75332731950578347</v>
      </c>
      <c r="J18" s="2">
        <f>tandem!C$16-tandem!C$15*(EXP(H18/tandem!C$14/tandem!C$4)-1)</f>
        <v>2.2466725836665362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0.58798743176241719</v>
      </c>
      <c r="D19" s="2">
        <f>tandem!C$7*tandem!C$4*LN((M$28-C19)/tandem!C$8+1)</f>
        <v>0.54975597672316856</v>
      </c>
      <c r="E19" s="2">
        <f>tandem!C$14*tandem!C$4*LN((M$29-C19)/tandem!C$15+1)</f>
        <v>1.457498999911186</v>
      </c>
      <c r="F19" s="2">
        <f t="shared" si="2"/>
        <v>2.0072549766343544</v>
      </c>
      <c r="G19" s="2">
        <f>A19*calc!M$30</f>
        <v>0.18849063227891127</v>
      </c>
      <c r="H19" s="2">
        <f>A19*calc!M$31</f>
        <v>0.47142925372947181</v>
      </c>
      <c r="I19" s="2">
        <f>tandem!C$9-tandem!C$8*(EXP(G19/tandem!C$7/tandem!C$4)-1)</f>
        <v>0.75332726660375027</v>
      </c>
      <c r="J19" s="2">
        <f>tandem!C$16-tandem!C$15*(EXP(H19/tandem!C$14/tandem!C$4)-1)</f>
        <v>2.2466725797780271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0.57579069119901283</v>
      </c>
      <c r="D20" s="2">
        <f>tandem!C$7*tandem!C$4*LN((M$28-C20)/tandem!C$8+1)</f>
        <v>0.55159937361685707</v>
      </c>
      <c r="E20" s="2">
        <f>tandem!C$14*tandem!C$4*LN((M$29-C20)/tandem!C$15+1)</f>
        <v>1.4578785051001852</v>
      </c>
      <c r="F20" s="2">
        <f t="shared" si="2"/>
        <v>2.0094778787170422</v>
      </c>
      <c r="G20" s="2">
        <f>A20*calc!M$30</f>
        <v>0.20027129679634323</v>
      </c>
      <c r="H20" s="2">
        <f>A20*calc!M$31</f>
        <v>0.50089358208756385</v>
      </c>
      <c r="I20" s="2">
        <f>tandem!C$9-tandem!C$8*(EXP(G20/tandem!C$7/tandem!C$4)-1)</f>
        <v>0.7533271832333206</v>
      </c>
      <c r="J20" s="2">
        <f>tandem!C$16-tandem!C$15*(EXP(H20/tandem!C$14/tandem!C$4)-1)</f>
        <v>2.2466725729102857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0.56334756013226894</v>
      </c>
      <c r="D21" s="2">
        <f>tandem!C$7*tandem!C$4*LN((M$28-C21)/tandem!C$8+1)</f>
        <v>0.5533538540872206</v>
      </c>
      <c r="E21" s="2">
        <f>tandem!C$14*tandem!C$4*LN((M$29-C21)/tandem!C$15+1)</f>
        <v>1.4582628326984788</v>
      </c>
      <c r="F21" s="2">
        <f t="shared" si="2"/>
        <v>2.0116166867856995</v>
      </c>
      <c r="G21" s="2">
        <f>A21*calc!M$30</f>
        <v>0.21205196131377516</v>
      </c>
      <c r="H21" s="2">
        <f>A21*calc!M$31</f>
        <v>0.53035791044565583</v>
      </c>
      <c r="I21" s="2">
        <f>tandem!C$9-tandem!C$8*(EXP(G21/tandem!C$7/tandem!C$4)-1)</f>
        <v>0.75332705184652682</v>
      </c>
      <c r="J21" s="2">
        <f>tandem!C$16-tandem!C$15*(EXP(H21/tandem!C$14/tandem!C$4)-1)</f>
        <v>2.2466725607807345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0.55065306114384815</v>
      </c>
      <c r="D22" s="2">
        <f>tandem!C$7*tandem!C$4*LN((M$28-C22)/tandem!C$8+1)</f>
        <v>0.55502913043481428</v>
      </c>
      <c r="E22" s="2">
        <f>tandem!C$14*tandem!C$4*LN((M$29-C22)/tandem!C$15+1)</f>
        <v>1.4586520076581568</v>
      </c>
      <c r="F22" s="2">
        <f t="shared" si="2"/>
        <v>2.0136811380929709</v>
      </c>
      <c r="G22" s="2">
        <f>A22*calc!M$30</f>
        <v>0.22383262583120711</v>
      </c>
      <c r="H22" s="2">
        <f>A22*calc!M$31</f>
        <v>0.55982223880374782</v>
      </c>
      <c r="I22" s="2">
        <f>tandem!C$9-tandem!C$8*(EXP(G22/tandem!C$7/tandem!C$4)-1)</f>
        <v>0.75332684478882461</v>
      </c>
      <c r="J22" s="2">
        <f>tandem!C$16-tandem!C$15*(EXP(H22/tandem!C$14/tandem!C$4)-1)</f>
        <v>2.2466725393579692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0.53770211626489295</v>
      </c>
      <c r="D23" s="2">
        <f>tandem!C$7*tandem!C$4*LN((M$28-C23)/tandem!C$8+1)</f>
        <v>0.55663341920896992</v>
      </c>
      <c r="E23" s="2">
        <f>tandem!C$14*tandem!C$4*LN((M$29-C23)/tandem!C$15+1)</f>
        <v>1.4590460541486279</v>
      </c>
      <c r="F23" s="2">
        <f t="shared" si="2"/>
        <v>2.015679473357598</v>
      </c>
      <c r="G23" s="2">
        <f>A23*calc!M$30</f>
        <v>0.23561329034863909</v>
      </c>
      <c r="H23" s="2">
        <f>A23*calc!M$31</f>
        <v>0.5892865671618398</v>
      </c>
      <c r="I23" s="2">
        <f>tandem!C$9-tandem!C$8*(EXP(G23/tandem!C$7/tandem!C$4)-1)</f>
        <v>0.753326518478312</v>
      </c>
      <c r="J23" s="2">
        <f>tandem!C$16-tandem!C$15*(EXP(H23/tandem!C$14/tandem!C$4)-1)</f>
        <v>2.2466725015218727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0.5244895449447704</v>
      </c>
      <c r="D24" s="2">
        <f>tandem!C$7*tandem!C$4*LN((M$28-C24)/tandem!C$8+1)</f>
        <v>0.55817373337798071</v>
      </c>
      <c r="E24" s="2">
        <f>tandem!C$14*tandem!C$4*LN((M$29-C24)/tandem!C$15+1)</f>
        <v>1.4594449955390814</v>
      </c>
      <c r="F24" s="2">
        <f t="shared" si="2"/>
        <v>2.017618728917062</v>
      </c>
      <c r="G24" s="2">
        <f>A24*calc!M$30</f>
        <v>0.24739395486607102</v>
      </c>
      <c r="H24" s="2">
        <f>A24*calc!M$31</f>
        <v>0.61875089551993179</v>
      </c>
      <c r="I24" s="2">
        <f>tandem!C$9-tandem!C$8*(EXP(G24/tandem!C$7/tandem!C$4)-1)</f>
        <v>0.7533260042325266</v>
      </c>
      <c r="J24" s="2">
        <f>tandem!C$16-tandem!C$15*(EXP(H24/tandem!C$14/tandem!C$4)-1)</f>
        <v>2.2466724346971567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0.51101006197878207</v>
      </c>
      <c r="D25" s="2">
        <f>tandem!C$7*tandem!C$4*LN((M$28-C25)/tandem!C$8+1)</f>
        <v>0.55965610646889674</v>
      </c>
      <c r="E25" s="2">
        <f>tandem!C$14*tandem!C$4*LN((M$29-C25)/tandem!C$15+1)</f>
        <v>1.4598488543814012</v>
      </c>
      <c r="F25" s="2">
        <f t="shared" si="2"/>
        <v>2.019504960850298</v>
      </c>
      <c r="G25" s="2">
        <f>A25*calc!M$30</f>
        <v>0.259174619383503</v>
      </c>
      <c r="H25" s="2">
        <f>A25*calc!M$31</f>
        <v>0.64821522387802377</v>
      </c>
      <c r="I25" s="2">
        <f>tandem!C$9-tandem!C$8*(EXP(G25/tandem!C$7/tandem!C$4)-1)</f>
        <v>0.75332519381203</v>
      </c>
      <c r="J25" s="2">
        <f>tandem!C$16-tandem!C$15*(EXP(H25/tandem!C$14/tandem!C$4)-1)</f>
        <v>2.2466723166738127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0.49725827539401307</v>
      </c>
      <c r="D26" s="2">
        <f>tandem!C$7*tandem!C$4*LN((M$28-C26)/tandem!C$8+1)</f>
        <v>0.56108576684274392</v>
      </c>
      <c r="E26" s="2">
        <f>tandem!C$14*tandem!C$4*LN((M$29-C26)/tandem!C$15+1)</f>
        <v>1.4602576523935578</v>
      </c>
      <c r="F26" s="2">
        <f t="shared" si="2"/>
        <v>2.0213434192363016</v>
      </c>
      <c r="G26" s="2">
        <f>A26*calc!M$30</f>
        <v>0.27095528390093493</v>
      </c>
      <c r="H26" s="2">
        <f>A26*calc!M$31</f>
        <v>0.67767955223611576</v>
      </c>
      <c r="I26" s="2">
        <f>tandem!C$9-tandem!C$8*(EXP(G26/tandem!C$7/tandem!C$4)-1)</f>
        <v>0.75332391663796239</v>
      </c>
      <c r="J26" s="2">
        <f>tandem!C$16-tandem!C$15*(EXP(H26/tandem!C$14/tandem!C$4)-1)</f>
        <v>2.2466721082253427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0.48322868429246968</v>
      </c>
      <c r="D27" s="2">
        <f>tandem!C$7*tandem!C$4*LN((M$28-C27)/tandem!C$8+1)</f>
        <v>0.56246727485211778</v>
      </c>
      <c r="E27" s="2">
        <f>tandem!C$14*tandem!C$4*LN((M$29-C27)/tandem!C$15+1)</f>
        <v>1.4606714104435032</v>
      </c>
      <c r="F27" s="2">
        <f t="shared" si="2"/>
        <v>2.023138685295621</v>
      </c>
      <c r="G27" s="2">
        <f>A27*calc!M$30</f>
        <v>0.28273594841836686</v>
      </c>
      <c r="H27" s="2">
        <f>A27*calc!M$31</f>
        <v>0.70714388059420774</v>
      </c>
      <c r="I27" s="2">
        <f>tandem!C$9-tandem!C$8*(EXP(G27/tandem!C$7/tandem!C$4)-1)</f>
        <v>0.75332190388827802</v>
      </c>
      <c r="J27" s="2">
        <f>tandem!C$16-tandem!C$15*(EXP(H27/tandem!C$14/tandem!C$4)-1)</f>
        <v>2.2466717400713558</v>
      </c>
      <c r="L27" t="s">
        <v>45</v>
      </c>
      <c r="M27">
        <v>0.75332741135916115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0.46891567665064776</v>
      </c>
      <c r="D28" s="2">
        <f>tandem!C$7*tandem!C$4*LN((M$28-C28)/tandem!C$8+1)</f>
        <v>0.56380463198133302</v>
      </c>
      <c r="E28" s="2">
        <f>tandem!C$14*tandem!C$4*LN((M$29-C28)/tandem!C$15+1)</f>
        <v>1.4610901485335925</v>
      </c>
      <c r="F28" s="2">
        <f t="shared" si="2"/>
        <v>2.0248947805149253</v>
      </c>
      <c r="G28" s="2">
        <f>A28*calc!M$30</f>
        <v>0.29451661293579884</v>
      </c>
      <c r="H28" s="2">
        <f>A28*calc!M$31</f>
        <v>0.73660820895229973</v>
      </c>
      <c r="I28" s="2">
        <f>tandem!C$9-tandem!C$8*(EXP(G28/tandem!C$7/tandem!C$4)-1)</f>
        <v>0.7533187319155652</v>
      </c>
      <c r="J28" s="2">
        <f>tandem!C$16-tandem!C$15*(EXP(H28/tandem!C$14/tandem!C$4)-1)</f>
        <v>2.2466710898513864</v>
      </c>
      <c r="L28" t="s">
        <v>46</v>
      </c>
      <c r="M28">
        <v>0.75332741125916114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0.45431352707464784</v>
      </c>
      <c r="D29" s="2">
        <f>tandem!C$7*tandem!C$4*LN((M$28-C29)/tandem!C$8+1)</f>
        <v>0.56510136856823101</v>
      </c>
      <c r="E29" s="2">
        <f>tandem!C$14*tandem!C$4*LN((M$29-C29)/tandem!C$15+1)</f>
        <v>1.4615138857855581</v>
      </c>
      <c r="F29" s="2">
        <f t="shared" si="2"/>
        <v>2.0266152543537892</v>
      </c>
      <c r="G29" s="2">
        <f>A29*calc!M$30</f>
        <v>0.30629727745323082</v>
      </c>
      <c r="H29" s="2">
        <f>A29*calc!M$31</f>
        <v>0.76607253731039171</v>
      </c>
      <c r="I29" s="2">
        <f>tandem!C$9-tandem!C$8*(EXP(G29/tandem!C$7/tandem!C$4)-1)</f>
        <v>0.75331373307692684</v>
      </c>
      <c r="J29" s="2">
        <f>tandem!C$16-tandem!C$15*(EXP(H29/tandem!C$14/tandem!C$4)-1)</f>
        <v>2.2466699414568989</v>
      </c>
      <c r="L29" t="s">
        <v>47</v>
      </c>
      <c r="M29">
        <v>2.246672588740839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0.43941639450994152</v>
      </c>
      <c r="D30" s="2">
        <f>tandem!C$7*tandem!C$4*LN((M$28-C30)/tandem!C$8+1)</f>
        <v>0.56636061496165502</v>
      </c>
      <c r="E30" s="2">
        <f>tandem!C$14*tandem!C$4*LN((M$29-C30)/tandem!C$15+1)</f>
        <v>1.4619426404260576</v>
      </c>
      <c r="F30" s="2">
        <f t="shared" si="2"/>
        <v>2.0283032553877125</v>
      </c>
      <c r="G30" s="2">
        <f>A30*calc!M$30</f>
        <v>0.31807794197066275</v>
      </c>
      <c r="H30" s="2">
        <f>A30*calc!M$31</f>
        <v>0.79553686566848381</v>
      </c>
      <c r="I30" s="2">
        <f>tandem!C$9-tandem!C$8*(EXP(G30/tandem!C$7/tandem!C$4)-1)</f>
        <v>0.75330585520722437</v>
      </c>
      <c r="J30" s="2">
        <f>tandem!C$16-tandem!C$15*(EXP(H30/tandem!C$14/tandem!C$4)-1)</f>
        <v>2.2466679132049832</v>
      </c>
      <c r="L30" t="s">
        <v>38</v>
      </c>
      <c r="M30" s="2">
        <v>0.58903322587159768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0.42421831990487197</v>
      </c>
      <c r="D31" s="2">
        <f>tandem!C$7*tandem!C$4*LN((M$28-C31)/tandem!C$8+1)</f>
        <v>0.56758515973178081</v>
      </c>
      <c r="E31" s="2">
        <f>tandem!C$14*tandem!C$4*LN((M$29-C31)/tandem!C$15+1)</f>
        <v>1.4623764297728215</v>
      </c>
      <c r="F31" s="2">
        <f t="shared" si="2"/>
        <v>2.0299615895046021</v>
      </c>
      <c r="G31" s="2">
        <f>A31*calc!M$30</f>
        <v>0.32985860648809473</v>
      </c>
      <c r="H31" s="2">
        <f>A31*calc!M$31</f>
        <v>0.82500119402657579</v>
      </c>
      <c r="I31" s="2">
        <f>tandem!C$9-tandem!C$8*(EXP(G31/tandem!C$7/tandem!C$4)-1)</f>
        <v>0.75329344015734212</v>
      </c>
      <c r="J31" s="2">
        <f>tandem!C$16-tandem!C$15*(EXP(H31/tandem!C$14/tandem!C$4)-1)</f>
        <v>2.2466643309813841</v>
      </c>
      <c r="L31" t="s">
        <v>40</v>
      </c>
      <c r="M31" s="2">
        <v>1.4732164179045995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0.40871322382695346</v>
      </c>
      <c r="D32" s="2">
        <f>tandem!C$7*tandem!C$4*LN((M$28-C32)/tandem!C$8+1)</f>
        <v>0.56877749766122176</v>
      </c>
      <c r="E32" s="2">
        <f>tandem!C$14*tandem!C$4*LN((M$29-C32)/tandem!C$15+1)</f>
        <v>1.4628152702214168</v>
      </c>
      <c r="F32" s="2">
        <f t="shared" si="2"/>
        <v>2.0315927678826387</v>
      </c>
      <c r="G32" s="2">
        <f>A32*calc!M$30</f>
        <v>0.3416392710055266</v>
      </c>
      <c r="H32" s="2">
        <f>A32*calc!M$31</f>
        <v>0.85446552238466766</v>
      </c>
      <c r="I32" s="2">
        <f>tandem!C$9-tandem!C$8*(EXP(G32/tandem!C$7/tandem!C$4)-1)</f>
        <v>0.7532738747837826</v>
      </c>
      <c r="J32" s="2">
        <f>tandem!C$16-tandem!C$15*(EXP(H32/tandem!C$14/tandem!C$4)-1)</f>
        <v>2.2466580041904107</v>
      </c>
      <c r="L32" t="s">
        <v>20</v>
      </c>
      <c r="M32">
        <v>2.0622496437761972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0.3928949040310174</v>
      </c>
      <c r="D33" s="2">
        <f>tandem!C$7*tandem!C$4*LN((M$28-C33)/tandem!C$8+1)</f>
        <v>0.56993986959695342</v>
      </c>
      <c r="E33" s="2">
        <f>tandem!C$14*tandem!C$4*LN((M$29-C33)/tandem!C$15+1)</f>
        <v>1.4632591772326557</v>
      </c>
      <c r="F33" s="2">
        <f t="shared" si="2"/>
        <v>2.0331990468296093</v>
      </c>
      <c r="G33" s="2">
        <f>A33*calc!M$30</f>
        <v>0.35341993552295858</v>
      </c>
      <c r="H33" s="2">
        <f>A33*calc!M$31</f>
        <v>0.88392985074275965</v>
      </c>
      <c r="I33" s="2">
        <f>tandem!C$9-tandem!C$8*(EXP(G33/tandem!C$7/tandem!C$4)-1)</f>
        <v>0.75324304092921512</v>
      </c>
      <c r="J33" s="2">
        <f>tandem!C$16-tandem!C$15*(EXP(H33/tandem!C$14/tandem!C$4)-1)</f>
        <v>2.2466468300459401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0.3767570329782316</v>
      </c>
      <c r="D34" s="2">
        <f>tandem!C$7*tandem!C$4*LN((M$28-C34)/tandem!C$8+1)</f>
        <v>0.5710742957653302</v>
      </c>
      <c r="E34" s="2">
        <f>tandem!C$14*tandem!C$4*LN((M$29-C34)/tandem!C$15+1)</f>
        <v>1.4637081653206614</v>
      </c>
      <c r="F34" s="2">
        <f t="shared" si="2"/>
        <v>2.0347824610859915</v>
      </c>
      <c r="G34" s="2">
        <f>A34*calc!M$30</f>
        <v>0.36520060004039057</v>
      </c>
      <c r="H34" s="2">
        <f>A34*calc!M$31</f>
        <v>0.91339417910085163</v>
      </c>
      <c r="I34" s="2">
        <f>tandem!C$9-tandem!C$8*(EXP(G34/tandem!C$7/tandem!C$4)-1)</f>
        <v>0.75319444862482587</v>
      </c>
      <c r="J34" s="2">
        <f>tandem!C$16-tandem!C$15*(EXP(H34/tandem!C$14/tandem!C$4)-1)</f>
        <v>2.2466270946848104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0.36029315530500056</v>
      </c>
      <c r="D35" s="2">
        <f>tandem!C$7*tandem!C$4*LN((M$28-C35)/tandem!C$8+1)</f>
        <v>0.57218260379613251</v>
      </c>
      <c r="E35" s="2">
        <f>tandem!C$14*tandem!C$4*LN((M$29-C35)/tandem!C$15+1)</f>
        <v>1.464162248041617</v>
      </c>
      <c r="F35" s="2">
        <f t="shared" si="2"/>
        <v>2.0363448518377494</v>
      </c>
      <c r="G35" s="2">
        <f>A35*calc!M$30</f>
        <v>0.37698126455782255</v>
      </c>
      <c r="H35" s="2">
        <f>A35*calc!M$31</f>
        <v>0.94285850745894362</v>
      </c>
      <c r="I35" s="2">
        <f>tandem!C$9-tandem!C$8*(EXP(G35/tandem!C$7/tandem!C$4)-1)</f>
        <v>0.75311787006924202</v>
      </c>
      <c r="J35" s="2">
        <f>tandem!C$16-tandem!C$15*(EXP(H35/tandem!C$14/tandem!C$4)-1)</f>
        <v>2.2465922388191157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0.34349668524073357</v>
      </c>
      <c r="D36" s="2">
        <f>tandem!C$7*tandem!C$4*LN((M$28-C36)/tandem!C$8+1)</f>
        <v>0.57326645243303753</v>
      </c>
      <c r="E36" s="2">
        <f>tandem!C$14*tandem!C$4*LN((M$29-C36)/tandem!C$15+1)</f>
        <v>1.4646214379832114</v>
      </c>
      <c r="F36" s="2">
        <f t="shared" ref="F36:F53" si="4">D36+E36</f>
        <v>2.0378878904162487</v>
      </c>
      <c r="G36" s="2">
        <f>A36*calc!M$30</f>
        <v>0.38876192907525448</v>
      </c>
      <c r="H36" s="2">
        <f>A36*calc!M$31</f>
        <v>0.97232283581703571</v>
      </c>
      <c r="I36" s="2">
        <f>tandem!C$9-tandem!C$8*(EXP(G36/tandem!C$7/tandem!C$4)-1)</f>
        <v>0.75299718686129347</v>
      </c>
      <c r="J36" s="2">
        <f>tandem!C$16-tandem!C$15*(EXP(H36/tandem!C$14/tandem!C$4)-1)</f>
        <v>2.2465306776768927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0.32636090397344919</v>
      </c>
      <c r="D37" s="2">
        <f>tandem!C$7*tandem!C$4*LN((M$28-C37)/tandem!C$8+1)</f>
        <v>0.57432735170353721</v>
      </c>
      <c r="E37" s="2">
        <f>tandem!C$14*tandem!C$4*LN((M$29-C37)/tandem!C$15+1)</f>
        <v>1.465085746754802</v>
      </c>
      <c r="F37" s="2">
        <f t="shared" si="4"/>
        <v>2.039413098458339</v>
      </c>
      <c r="G37" s="2">
        <f>A37*calc!M$30</f>
        <v>0.40054259359268646</v>
      </c>
      <c r="H37" s="2">
        <f>A37*calc!M$31</f>
        <v>1.0017871641751277</v>
      </c>
      <c r="I37" s="2">
        <f>tandem!C$9-tandem!C$8*(EXP(G37/tandem!C$7/tandem!C$4)-1)</f>
        <v>0.7528069973680378</v>
      </c>
      <c r="J37" s="2">
        <f>tandem!C$16-tandem!C$15*(EXP(H37/tandem!C$14/tandem!C$4)-1)</f>
        <v>2.2464219506619063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0.30887895696216033</v>
      </c>
      <c r="D38" s="2">
        <f>tandem!C$7*tandem!C$4*LN((M$28-C38)/tandem!C$8+1)</f>
        <v>0.57536668016438586</v>
      </c>
      <c r="E38" s="2">
        <f>tandem!C$14*tandem!C$4*LN((M$29-C38)/tandem!C$15+1)</f>
        <v>1.4655551849783079</v>
      </c>
      <c r="F38" s="2">
        <f t="shared" si="4"/>
        <v>2.0409218651426939</v>
      </c>
      <c r="G38" s="2">
        <f>A38*calc!M$30</f>
        <v>0.41232325811011844</v>
      </c>
      <c r="H38" s="2">
        <f>A38*calc!M$31</f>
        <v>1.0312514925332197</v>
      </c>
      <c r="I38" s="2">
        <f>tandem!C$9-tandem!C$8*(EXP(G38/tandem!C$7/tandem!C$4)-1)</f>
        <v>0.75250727014036678</v>
      </c>
      <c r="J38" s="2">
        <f>tandem!C$16-tandem!C$15*(EXP(H38/tandem!C$14/tandem!C$4)-1)</f>
        <v>2.2462299210250101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0.29104385119496673</v>
      </c>
      <c r="D39" s="2">
        <f>tandem!C$7*tandem!C$4*LN((M$28-C39)/tandem!C$8+1)</f>
        <v>0.57638569971710507</v>
      </c>
      <c r="E39" s="2">
        <f>tandem!C$14*tandem!C$4*LN((M$29-C39)/tandem!C$15+1)</f>
        <v>1.4660297622798528</v>
      </c>
      <c r="F39" s="2">
        <f t="shared" si="4"/>
        <v>2.0424154619969581</v>
      </c>
      <c r="G39" s="2">
        <f>A39*calc!M$30</f>
        <v>0.42410392262755031</v>
      </c>
      <c r="H39" s="2">
        <f>A39*calc!M$31</f>
        <v>1.0607158208913117</v>
      </c>
      <c r="I39" s="2">
        <f>tandem!C$9-tandem!C$8*(EXP(G39/tandem!C$7/tandem!C$4)-1)</f>
        <v>0.75203491801686351</v>
      </c>
      <c r="J39" s="2">
        <f>tandem!C$16-tandem!C$15*(EXP(H39/tandem!C$14/tandem!C$4)-1)</f>
        <v>2.2458907653749551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0.27284845239175687</v>
      </c>
      <c r="D40" s="2">
        <f>tandem!C$7*tandem!C$4*LN((M$28-C40)/tandem!C$8+1)</f>
        <v>0.57738556839317912</v>
      </c>
      <c r="E40" s="2">
        <f>tandem!C$14*tandem!C$4*LN((M$29-C40)/tandem!C$15+1)</f>
        <v>1.4665094872821669</v>
      </c>
      <c r="F40" s="2">
        <f t="shared" si="4"/>
        <v>2.0438950556753461</v>
      </c>
      <c r="G40" s="2">
        <f>A40*calc!M$30</f>
        <v>0.43588458714498229</v>
      </c>
      <c r="H40" s="2">
        <f>A40*calc!M$31</f>
        <v>1.0901801492494037</v>
      </c>
      <c r="I40" s="2">
        <f>tandem!C$9-tandem!C$8*(EXP(G40/tandem!C$7/tandem!C$4)-1)</f>
        <v>0.75129051941713743</v>
      </c>
      <c r="J40" s="2">
        <f>tandem!C$16-tandem!C$15*(EXP(H40/tandem!C$14/tandem!C$4)-1)</f>
        <v>2.2452917611961021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0.25428548215040092</v>
      </c>
      <c r="D41" s="2">
        <f>tandem!C$7*tandem!C$4*LN((M$28-C41)/tandem!C$8+1)</f>
        <v>0.57836735143394202</v>
      </c>
      <c r="E41" s="2">
        <f>tandem!C$14*tandem!C$4*LN((M$29-C41)/tandem!C$15+1)</f>
        <v>1.4669943675977628</v>
      </c>
      <c r="F41" s="2">
        <f t="shared" si="4"/>
        <v>2.0453617190317051</v>
      </c>
      <c r="G41" s="2">
        <f>A41*calc!M$30</f>
        <v>0.44766525166241422</v>
      </c>
      <c r="H41" s="2">
        <f>A41*calc!M$31</f>
        <v>1.1196444776074956</v>
      </c>
      <c r="I41" s="2">
        <f>tandem!C$9-tandem!C$8*(EXP(G41/tandem!C$7/tandem!C$4)-1)</f>
        <v>0.75011739189700621</v>
      </c>
      <c r="J41" s="2">
        <f>tandem!C$16-tandem!C$15*(EXP(H41/tandem!C$14/tandem!C$4)-1)</f>
        <v>2.2442338221459197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0.23534751503529269</v>
      </c>
      <c r="D42" s="2">
        <f>tandem!C$7*tandem!C$4*LN((M$28-C42)/tandem!C$8+1)</f>
        <v>0.57933203093102836</v>
      </c>
      <c r="E42" s="2">
        <f>tandem!C$14*tandem!C$4*LN((M$29-C42)/tandem!C$15+1)</f>
        <v>1.4674844098228972</v>
      </c>
      <c r="F42" s="2">
        <f t="shared" si="4"/>
        <v>2.0468164407539255</v>
      </c>
      <c r="G42" s="2">
        <f>A42*calc!M$30</f>
        <v>0.4594459161798462</v>
      </c>
      <c r="H42" s="2">
        <f>A42*calc!M$31</f>
        <v>1.1491088059655876</v>
      </c>
      <c r="I42" s="2">
        <f>tandem!C$9-tandem!C$8*(EXP(G42/tandem!C$7/tandem!C$4)-1)</f>
        <v>0.74826861332730499</v>
      </c>
      <c r="J42" s="2">
        <f>tandem!C$16-tandem!C$15*(EXP(H42/tandem!C$14/tandem!C$4)-1)</f>
        <v>2.2423653292815717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0.21602697560707651</v>
      </c>
      <c r="D43" s="2">
        <f>tandem!C$7*tandem!C$4*LN((M$28-C43)/tandem!C$8+1)</f>
        <v>0.5802805142461287</v>
      </c>
      <c r="E43" s="2">
        <f>tandem!C$14*tandem!C$4*LN((M$29-C43)/tandem!C$15+1)</f>
        <v>1.4679796195323278</v>
      </c>
      <c r="F43" s="2">
        <f t="shared" si="4"/>
        <v>2.0482601337784567</v>
      </c>
      <c r="G43" s="2">
        <f>A43*calc!M$30</f>
        <v>0.47122658069727819</v>
      </c>
      <c r="H43" s="2">
        <f>A43*calc!M$31</f>
        <v>1.1785731343236796</v>
      </c>
      <c r="I43" s="2">
        <f>tandem!C$9-tandem!C$8*(EXP(G43/tandem!C$7/tandem!C$4)-1)</f>
        <v>0.74535504925082297</v>
      </c>
      <c r="J43" s="2">
        <f>tandem!C$16-tandem!C$15*(EXP(H43/tandem!C$14/tandem!C$4)-1)</f>
        <v>2.2390652662169592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0.19631613539237081</v>
      </c>
      <c r="D44" s="2">
        <f>tandem!C$7*tandem!C$4*LN((M$28-C44)/tandem!C$8+1)</f>
        <v>0.58121364139096365</v>
      </c>
      <c r="E44" s="2">
        <f>tandem!C$14*tandem!C$4*LN((M$29-C44)/tandem!C$15+1)</f>
        <v>1.4684800012748738</v>
      </c>
      <c r="F44" s="2">
        <f t="shared" si="4"/>
        <v>2.0496936426658374</v>
      </c>
      <c r="G44" s="2">
        <f>A44*calc!M$30</f>
        <v>0.48300724521471011</v>
      </c>
      <c r="H44" s="2">
        <f>A44*calc!M$31</f>
        <v>1.2080374626817716</v>
      </c>
      <c r="I44" s="2">
        <f>tandem!C$9-tandem!C$8*(EXP(G44/tandem!C$7/tandem!C$4)-1)</f>
        <v>0.74076344711583175</v>
      </c>
      <c r="J44" s="2">
        <f>tandem!C$16-tandem!C$15*(EXP(H44/tandem!C$14/tandem!C$4)-1)</f>
        <v>2.2332368167547134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0.176207109792275</v>
      </c>
      <c r="D45" s="2">
        <f>tandem!C$7*tandem!C$4*LN((M$28-C45)/tandem!C$8+1)</f>
        <v>0.58213219151786055</v>
      </c>
      <c r="E45" s="2">
        <f>tandem!C$14*tandem!C$4*LN((M$29-C45)/tandem!C$15+1)</f>
        <v>1.4689855585697882</v>
      </c>
      <c r="F45" s="2">
        <f t="shared" si="4"/>
        <v>2.0511177500876485</v>
      </c>
      <c r="G45" s="2">
        <f>A45*calc!M$30</f>
        <v>0.49478790973214204</v>
      </c>
      <c r="H45" s="2">
        <f>A45*calc!M$31</f>
        <v>1.2375017910398636</v>
      </c>
      <c r="I45" s="2">
        <f>tandem!C$9-tandem!C$8*(EXP(G45/tandem!C$7/tandem!C$4)-1)</f>
        <v>0.73352735770347444</v>
      </c>
      <c r="J45" s="2">
        <f>tandem!C$16-tandem!C$15*(EXP(H45/tandem!C$14/tandem!C$4)-1)</f>
        <v>2.2229428246494609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0.15569185492842466</v>
      </c>
      <c r="D46" s="2">
        <f>tandem!C$7*tandem!C$4*LN((M$28-C46)/tandem!C$8+1)</f>
        <v>0.58303688864654002</v>
      </c>
      <c r="E46" s="2">
        <f>tandem!C$14*tandem!C$4*LN((M$29-C46)/tandem!C$15+1)</f>
        <v>1.4694962939039486</v>
      </c>
      <c r="F46" s="2">
        <f t="shared" si="4"/>
        <v>2.0525331825504889</v>
      </c>
      <c r="G46" s="2">
        <f>A46*calc!M$30</f>
        <v>0.50656857424957402</v>
      </c>
      <c r="H46" s="2">
        <f>A46*calc!M$31</f>
        <v>1.2669661193979556</v>
      </c>
      <c r="I46" s="2">
        <f>tandem!C$9-tandem!C$8*(EXP(G46/tandem!C$7/tandem!C$4)-1)</f>
        <v>0.72212371504362749</v>
      </c>
      <c r="J46" s="2">
        <f>tandem!C$16-tandem!C$15*(EXP(H46/tandem!C$14/tandem!C$4)-1)</f>
        <v>2.2047619561098246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0.13476216442533412</v>
      </c>
      <c r="D47" s="2">
        <f>tandem!C$7*tandem!C$4*LN((M$28-C47)/tandem!C$8+1)</f>
        <v>0.58392840673249835</v>
      </c>
      <c r="E47" s="2">
        <f>tandem!C$14*tandem!C$4*LN((M$29-C47)/tandem!C$15+1)</f>
        <v>1.470012208729869</v>
      </c>
      <c r="F47" s="2">
        <f t="shared" si="4"/>
        <v>2.0539406154623672</v>
      </c>
      <c r="G47" s="2">
        <f>A47*calc!M$30</f>
        <v>0.518349238767006</v>
      </c>
      <c r="H47" s="2">
        <f>A47*calc!M$31</f>
        <v>1.2964304477560475</v>
      </c>
      <c r="I47" s="2">
        <f>tandem!C$9-tandem!C$8*(EXP(G47/tandem!C$7/tandem!C$4)-1)</f>
        <v>0.70415225856999664</v>
      </c>
      <c r="J47" s="2">
        <f>tandem!C$16-tandem!C$15*(EXP(H47/tandem!C$14/tandem!C$4)-1)</f>
        <v>2.1726515777963562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0.11340966612773574</v>
      </c>
      <c r="D48" s="2">
        <f>tandem!C$7*tandem!C$4*LN((M$28-C48)/tandem!C$8+1)</f>
        <v>0.58480737416578721</v>
      </c>
      <c r="E48" s="2">
        <f>tandem!C$14*tandem!C$4*LN((M$29-C48)/tandem!C$15+1)</f>
        <v>1.4705333034645396</v>
      </c>
      <c r="F48" s="2">
        <f t="shared" si="4"/>
        <v>2.0553406776303267</v>
      </c>
      <c r="G48" s="2">
        <f>A48*calc!M$30</f>
        <v>0.53012990328443788</v>
      </c>
      <c r="H48" s="2">
        <f>A48*calc!M$31</f>
        <v>1.3258947761141395</v>
      </c>
      <c r="I48" s="2">
        <f>tandem!C$9-tandem!C$8*(EXP(G48/tandem!C$7/tandem!C$4)-1)</f>
        <v>0.67583032167514667</v>
      </c>
      <c r="J48" s="2">
        <f>tandem!C$16-tandem!C$15*(EXP(H48/tandem!C$14/tandem!C$4)-1)</f>
        <v>2.1159394139530154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9.1625818751607038E-2</v>
      </c>
      <c r="D49" s="2">
        <f>tandem!C$7*tandem!C$4*LN((M$28-C49)/tandem!C$8+1)</f>
        <v>0.58567437777532783</v>
      </c>
      <c r="E49" s="2">
        <f>tandem!C$14*tandem!C$4*LN((M$29-C49)/tandem!C$15+1)</f>
        <v>1.471059577489092</v>
      </c>
      <c r="F49" s="2">
        <f t="shared" si="4"/>
        <v>2.0567339552644199</v>
      </c>
      <c r="G49" s="2">
        <f>A49*calc!M$30</f>
        <v>0.54191056780186986</v>
      </c>
      <c r="H49" s="2">
        <f>A49*calc!M$31</f>
        <v>1.3553591044722315</v>
      </c>
      <c r="I49" s="2">
        <f>tandem!C$9-tandem!C$8*(EXP(G49/tandem!C$7/tandem!C$4)-1)</f>
        <v>0.63119664879210369</v>
      </c>
      <c r="J49" s="2">
        <f>tandem!C$16-tandem!C$15*(EXP(H49/tandem!C$14/tandem!C$4)-1)</f>
        <v>2.015776485432025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6.940190846754217E-2</v>
      </c>
      <c r="D50" s="2">
        <f>tandem!C$7*tandem!C$4*LN((M$28-C50)/tandem!C$8+1)</f>
        <v>0.58652996640257782</v>
      </c>
      <c r="E50" s="2">
        <f>tandem!C$14*tandem!C$4*LN((M$29-C50)/tandem!C$15+1)</f>
        <v>1.4715910291492951</v>
      </c>
      <c r="F50" s="2">
        <f t="shared" si="4"/>
        <v>2.0581209955518727</v>
      </c>
      <c r="G50" s="2">
        <f>A50*calc!M$30</f>
        <v>0.55369123231930184</v>
      </c>
      <c r="H50" s="2">
        <f>A50*calc!M$31</f>
        <v>1.3848234328303235</v>
      </c>
      <c r="I50" s="2">
        <f>tandem!C$9-tandem!C$8*(EXP(G50/tandem!C$7/tandem!C$4)-1)</f>
        <v>0.56085665889569614</v>
      </c>
      <c r="J50" s="2">
        <f>tandem!C$16-tandem!C$15*(EXP(H50/tandem!C$14/tandem!C$4)-1)</f>
        <v>1.8388724216474936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4.672904541510494E-2</v>
      </c>
      <c r="D51" s="2">
        <f>tandem!C$7*tandem!C$4*LN((M$28-C51)/tandem!C$8+1)</f>
        <v>0.5873746540989675</v>
      </c>
      <c r="E51" s="2">
        <f>tandem!C$14*tandem!C$4*LN((M$29-C51)/tandem!C$15+1)</f>
        <v>1.4721276557568772</v>
      </c>
      <c r="F51" s="2">
        <f t="shared" si="4"/>
        <v>2.0595023098558447</v>
      </c>
      <c r="G51" s="2">
        <f>A51*calc!M$30</f>
        <v>0.56547189683673371</v>
      </c>
      <c r="H51" s="2">
        <f>A51*calc!M$31</f>
        <v>1.4142877611884155</v>
      </c>
      <c r="I51" s="2">
        <f>tandem!C$9-tandem!C$8*(EXP(G51/tandem!C$7/tandem!C$4)-1)</f>
        <v>0.45000505608022467</v>
      </c>
      <c r="J51" s="2">
        <f>tandem!C$16-tandem!C$15*(EXP(H51/tandem!C$14/tandem!C$4)-1)</f>
        <v>1.5264309999999348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2.3598160146765357E-2</v>
      </c>
      <c r="D52" s="2">
        <f>tandem!C$7*tandem!C$4*LN((M$28-C52)/tandem!C$8+1)</f>
        <v>0.58820892299365812</v>
      </c>
      <c r="E52" s="2">
        <f>tandem!C$14*tandem!C$4*LN((M$29-C52)/tandem!C$15+1)</f>
        <v>1.4726694535916744</v>
      </c>
      <c r="F52" s="2">
        <f t="shared" si="4"/>
        <v>2.0608783765853325</v>
      </c>
      <c r="G52" s="2">
        <f>A52*calc!M$30</f>
        <v>0.57725256135416569</v>
      </c>
      <c r="H52" s="2">
        <f>A52*calc!M$31</f>
        <v>1.4437520895465075</v>
      </c>
      <c r="I52" s="2">
        <f>tandem!C$9-tandem!C$8*(EXP(G52/tandem!C$7/tandem!C$4)-1)</f>
        <v>0.27530958249747101</v>
      </c>
      <c r="J52" s="2">
        <f>tandem!C$16-tandem!C$15*(EXP(H52/tandem!C$14/tandem!C$4)-1)</f>
        <v>0.97460850438983559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tandem!C$7*tandem!C$4*LN((M$28-C53)/tandem!C$8+1)</f>
        <v>0.58903322587159768</v>
      </c>
      <c r="E53" s="2">
        <f>tandem!C$14*tandem!C$4*LN((M$29-C53)/tandem!C$15+1)</f>
        <v>1.4732164179045995</v>
      </c>
      <c r="F53" s="2">
        <f t="shared" si="4"/>
        <v>2.0622496437761972</v>
      </c>
      <c r="G53" s="2">
        <f>A53*calc!M$30</f>
        <v>0.58903322587159768</v>
      </c>
      <c r="H53" s="2">
        <f>A53*calc!M$31</f>
        <v>1.4732164179045995</v>
      </c>
      <c r="I53" s="2">
        <f>tandem!C$9-tandem!C$8*(EXP(G53/tandem!C$7/tandem!C$4)-1)</f>
        <v>0</v>
      </c>
      <c r="J53" s="2">
        <f>tandem!C$16-tandem!C$15*(EXP(H53/tandem!C$14/tandem!C$4)-1)</f>
        <v>0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tandem</vt:lpstr>
      <vt:lpstr>calc</vt:lpstr>
      <vt:lpstr>A1_coef</vt:lpstr>
      <vt:lpstr>A2_coef</vt:lpstr>
      <vt:lpstr>B_coef</vt:lpstr>
      <vt:lpstr>confirm_each</vt:lpstr>
      <vt:lpstr>dP_dIm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P1_mW</vt:lpstr>
      <vt:lpstr>P1m_mW</vt:lpstr>
      <vt:lpstr>P2m_mW</vt:lpstr>
      <vt:lpstr>Pm_mW</vt:lpstr>
      <vt:lpstr>r_1</vt:lpstr>
      <vt:lpstr>r_2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2024-03-30T23:50:49Z</dcterms:modified>
</cp:coreProperties>
</file>