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hil3/Documents/calcs/SQ_multijunc/SubcellDiv/"/>
    </mc:Choice>
  </mc:AlternateContent>
  <xr:revisionPtr revIDLastSave="0" documentId="13_ncr:1_{5D1F1F17-CC8A-0D4F-9E67-CAEE837023FB}" xr6:coauthVersionLast="47" xr6:coauthVersionMax="47" xr10:uidLastSave="{00000000-0000-0000-0000-000000000000}"/>
  <bookViews>
    <workbookView xWindow="2220" yWindow="-21600" windowWidth="26880" windowHeight="19940" xr2:uid="{F39901F2-9B9C-3F40-87C6-17C8C951FC81}"/>
  </bookViews>
  <sheets>
    <sheet name="tandem" sheetId="1" r:id="rId1"/>
    <sheet name="calc" sheetId="4" r:id="rId2"/>
  </sheets>
  <definedNames>
    <definedName name="A1_coef">tandem!$F$44</definedName>
    <definedName name="A2_coef">tandem!$F$45</definedName>
    <definedName name="B_coef">tandem!$F$46</definedName>
    <definedName name="confirm_each">tandem!$L$12</definedName>
    <definedName name="dP_dIm">tandem!$C$42</definedName>
    <definedName name="f">tandem!$C$5</definedName>
    <definedName name="f_calc">tandem!$C$60</definedName>
    <definedName name="f_in">tandem!$J$9</definedName>
    <definedName name="I0_1_mA">tandem!$C$9</definedName>
    <definedName name="I0_2_mA">tandem!$C$15</definedName>
    <definedName name="I1m_mA">tandem!$G$9</definedName>
    <definedName name="I2m_mA">tandem!$G$15</definedName>
    <definedName name="Ierror">tandem!$F$31</definedName>
    <definedName name="Im_mA">tandem!$C$22</definedName>
    <definedName name="Ip_1_mA">tandem!$C$10</definedName>
    <definedName name="Ip_2_mA">tandem!$C$16</definedName>
    <definedName name="Ip_mA">tandem!$C$3</definedName>
    <definedName name="Isc_mA">tandem!$C$26</definedName>
    <definedName name="kT_eV">tandem!$C$4</definedName>
    <definedName name="n_1">tandem!$C$8</definedName>
    <definedName name="n_2">tandem!$C$14</definedName>
    <definedName name="opt_f">tandem!$J$12</definedName>
    <definedName name="P1_mW">tandem!$C$12</definedName>
    <definedName name="P1m_mW">tandem!$G$10</definedName>
    <definedName name="P2m_mW">tandem!$G$16</definedName>
    <definedName name="Pm_mW">tandem!$C$23</definedName>
    <definedName name="r_1">tandem!$C$45</definedName>
    <definedName name="r_2">tandem!$C$46</definedName>
    <definedName name="solver_adj" localSheetId="0" hidden="1">tandem!$G$15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tandem!$C$22</definedName>
    <definedName name="solver_lhs2" localSheetId="0" hidden="1">tandem!$C$22</definedName>
    <definedName name="solver_lin" localSheetId="0" hidden="1">2</definedName>
    <definedName name="solver_mip" localSheetId="0" hidden="1">2147483647</definedName>
    <definedName name="solver_mni" localSheetId="0" hidden="1">2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opt" localSheetId="0" hidden="1">tandem!$G$16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1</definedName>
    <definedName name="solver_rhs1" localSheetId="0" hidden="1">tandem!#REF!</definedName>
    <definedName name="solver_rhs2" localSheetId="0" hidden="1">tandem!#REF!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4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2</definedName>
    <definedName name="SolveState">tandem!$D$34</definedName>
    <definedName name="u">tandem!$F$30</definedName>
    <definedName name="V1_V">tandem!$C$11</definedName>
    <definedName name="V1m_V">tandem!$G$8</definedName>
    <definedName name="V1oc_V">tandem!$G$11</definedName>
    <definedName name="V2_V">tandem!$C$17</definedName>
    <definedName name="V2m_V">tandem!$G$14</definedName>
    <definedName name="V2oc_V">tandem!$G$17</definedName>
    <definedName name="Voc_V">tandem!$C$25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4" l="1"/>
  <c r="E4" i="4" s="1"/>
  <c r="C5" i="4"/>
  <c r="D5" i="4" s="1"/>
  <c r="C6" i="4"/>
  <c r="E6" i="4" s="1"/>
  <c r="C7" i="4"/>
  <c r="D7" i="4" s="1"/>
  <c r="C8" i="4"/>
  <c r="D8" i="4" s="1"/>
  <c r="C9" i="4"/>
  <c r="D9" i="4" s="1"/>
  <c r="C10" i="4"/>
  <c r="D10" i="4" s="1"/>
  <c r="C11" i="4"/>
  <c r="D11" i="4" s="1"/>
  <c r="C12" i="4"/>
  <c r="D12" i="4" s="1"/>
  <c r="C13" i="4"/>
  <c r="D13" i="4" s="1"/>
  <c r="C14" i="4"/>
  <c r="E14" i="4" s="1"/>
  <c r="C15" i="4"/>
  <c r="D15" i="4" s="1"/>
  <c r="C16" i="4"/>
  <c r="E16" i="4" s="1"/>
  <c r="C17" i="4"/>
  <c r="D17" i="4" s="1"/>
  <c r="C18" i="4"/>
  <c r="E18" i="4" s="1"/>
  <c r="C19" i="4"/>
  <c r="E19" i="4" s="1"/>
  <c r="C20" i="4"/>
  <c r="D20" i="4" s="1"/>
  <c r="C21" i="4"/>
  <c r="D21" i="4" s="1"/>
  <c r="C22" i="4"/>
  <c r="E22" i="4" s="1"/>
  <c r="C23" i="4"/>
  <c r="D23" i="4" s="1"/>
  <c r="C24" i="4"/>
  <c r="E24" i="4" s="1"/>
  <c r="C25" i="4"/>
  <c r="D25" i="4" s="1"/>
  <c r="C26" i="4"/>
  <c r="D26" i="4" s="1"/>
  <c r="C27" i="4"/>
  <c r="D27" i="4" s="1"/>
  <c r="C28" i="4"/>
  <c r="E28" i="4" s="1"/>
  <c r="C29" i="4"/>
  <c r="D29" i="4" s="1"/>
  <c r="C30" i="4"/>
  <c r="D30" i="4" s="1"/>
  <c r="C31" i="4"/>
  <c r="D31" i="4" s="1"/>
  <c r="C32" i="4"/>
  <c r="E32" i="4" s="1"/>
  <c r="C33" i="4"/>
  <c r="D33" i="4" s="1"/>
  <c r="C34" i="4"/>
  <c r="E34" i="4" s="1"/>
  <c r="C35" i="4"/>
  <c r="E35" i="4" s="1"/>
  <c r="C36" i="4"/>
  <c r="D36" i="4" s="1"/>
  <c r="C37" i="4"/>
  <c r="D37" i="4" s="1"/>
  <c r="C38" i="4"/>
  <c r="E38" i="4" s="1"/>
  <c r="C39" i="4"/>
  <c r="D39" i="4" s="1"/>
  <c r="C40" i="4"/>
  <c r="D40" i="4" s="1"/>
  <c r="C41" i="4"/>
  <c r="D41" i="4" s="1"/>
  <c r="C42" i="4"/>
  <c r="D42" i="4" s="1"/>
  <c r="C43" i="4"/>
  <c r="D43" i="4" s="1"/>
  <c r="C44" i="4"/>
  <c r="E44" i="4" s="1"/>
  <c r="C45" i="4"/>
  <c r="D45" i="4" s="1"/>
  <c r="C46" i="4"/>
  <c r="E46" i="4" s="1"/>
  <c r="C47" i="4"/>
  <c r="D47" i="4" s="1"/>
  <c r="C48" i="4"/>
  <c r="D48" i="4" s="1"/>
  <c r="C49" i="4"/>
  <c r="D49" i="4" s="1"/>
  <c r="C50" i="4"/>
  <c r="E50" i="4" s="1"/>
  <c r="C51" i="4"/>
  <c r="E51" i="4" s="1"/>
  <c r="C52" i="4"/>
  <c r="E52" i="4" s="1"/>
  <c r="C53" i="4"/>
  <c r="D53" i="4" s="1"/>
  <c r="C3" i="4"/>
  <c r="E3" i="4" s="1"/>
  <c r="C44" i="1"/>
  <c r="C45" i="1" s="1"/>
  <c r="B58" i="1" s="1"/>
  <c r="B3" i="4"/>
  <c r="G3" i="4"/>
  <c r="H3" i="4"/>
  <c r="B4" i="4"/>
  <c r="G4" i="4"/>
  <c r="H4" i="4"/>
  <c r="B5" i="4"/>
  <c r="G5" i="4"/>
  <c r="H5" i="4"/>
  <c r="B6" i="4"/>
  <c r="G6" i="4"/>
  <c r="H6" i="4"/>
  <c r="B7" i="4"/>
  <c r="G7" i="4"/>
  <c r="H7" i="4"/>
  <c r="B8" i="4"/>
  <c r="G8" i="4"/>
  <c r="H8" i="4"/>
  <c r="B9" i="4"/>
  <c r="G9" i="4"/>
  <c r="H9" i="4"/>
  <c r="B10" i="4"/>
  <c r="G10" i="4"/>
  <c r="H10" i="4"/>
  <c r="B11" i="4"/>
  <c r="G11" i="4"/>
  <c r="H11" i="4"/>
  <c r="B12" i="4"/>
  <c r="G12" i="4"/>
  <c r="H12" i="4"/>
  <c r="B13" i="4"/>
  <c r="G13" i="4"/>
  <c r="H13" i="4"/>
  <c r="B14" i="4"/>
  <c r="G14" i="4"/>
  <c r="H14" i="4"/>
  <c r="B15" i="4"/>
  <c r="G15" i="4"/>
  <c r="H15" i="4"/>
  <c r="B16" i="4"/>
  <c r="G16" i="4"/>
  <c r="H16" i="4"/>
  <c r="B17" i="4"/>
  <c r="G17" i="4"/>
  <c r="H17" i="4"/>
  <c r="B18" i="4"/>
  <c r="G18" i="4"/>
  <c r="H18" i="4"/>
  <c r="B19" i="4"/>
  <c r="G19" i="4"/>
  <c r="H19" i="4"/>
  <c r="B20" i="4"/>
  <c r="G20" i="4"/>
  <c r="H20" i="4"/>
  <c r="B21" i="4"/>
  <c r="G21" i="4"/>
  <c r="H21" i="4"/>
  <c r="B22" i="4"/>
  <c r="G22" i="4"/>
  <c r="H22" i="4"/>
  <c r="B23" i="4"/>
  <c r="G23" i="4"/>
  <c r="H23" i="4"/>
  <c r="B24" i="4"/>
  <c r="G24" i="4"/>
  <c r="H24" i="4"/>
  <c r="B25" i="4"/>
  <c r="G25" i="4"/>
  <c r="H25" i="4"/>
  <c r="B26" i="4"/>
  <c r="G26" i="4"/>
  <c r="H26" i="4"/>
  <c r="B27" i="4"/>
  <c r="G27" i="4"/>
  <c r="H27" i="4"/>
  <c r="B28" i="4"/>
  <c r="G28" i="4"/>
  <c r="H28" i="4"/>
  <c r="B29" i="4"/>
  <c r="G29" i="4"/>
  <c r="H29" i="4"/>
  <c r="B30" i="4"/>
  <c r="G30" i="4"/>
  <c r="H30" i="4"/>
  <c r="B31" i="4"/>
  <c r="G31" i="4"/>
  <c r="H31" i="4"/>
  <c r="B32" i="4"/>
  <c r="G32" i="4"/>
  <c r="H32" i="4"/>
  <c r="B33" i="4"/>
  <c r="G33" i="4"/>
  <c r="H33" i="4"/>
  <c r="B34" i="4"/>
  <c r="G34" i="4"/>
  <c r="H34" i="4"/>
  <c r="B35" i="4"/>
  <c r="G35" i="4"/>
  <c r="H35" i="4"/>
  <c r="B36" i="4"/>
  <c r="G36" i="4"/>
  <c r="H36" i="4"/>
  <c r="B37" i="4"/>
  <c r="G37" i="4"/>
  <c r="H37" i="4"/>
  <c r="B38" i="4"/>
  <c r="G38" i="4"/>
  <c r="H38" i="4"/>
  <c r="B39" i="4"/>
  <c r="G39" i="4"/>
  <c r="H39" i="4"/>
  <c r="B40" i="4"/>
  <c r="G40" i="4"/>
  <c r="H40" i="4"/>
  <c r="B41" i="4"/>
  <c r="G41" i="4"/>
  <c r="H41" i="4"/>
  <c r="B42" i="4"/>
  <c r="G42" i="4"/>
  <c r="H42" i="4"/>
  <c r="B43" i="4"/>
  <c r="G43" i="4"/>
  <c r="H43" i="4"/>
  <c r="B44" i="4"/>
  <c r="G44" i="4"/>
  <c r="H44" i="4"/>
  <c r="B45" i="4"/>
  <c r="G45" i="4"/>
  <c r="H45" i="4"/>
  <c r="B46" i="4"/>
  <c r="G46" i="4"/>
  <c r="H46" i="4"/>
  <c r="B47" i="4"/>
  <c r="G47" i="4"/>
  <c r="H47" i="4"/>
  <c r="B48" i="4"/>
  <c r="G48" i="4"/>
  <c r="H48" i="4"/>
  <c r="B49" i="4"/>
  <c r="G49" i="4"/>
  <c r="H49" i="4"/>
  <c r="B50" i="4"/>
  <c r="G50" i="4"/>
  <c r="H50" i="4"/>
  <c r="B51" i="4"/>
  <c r="G51" i="4"/>
  <c r="H51" i="4"/>
  <c r="B52" i="4"/>
  <c r="G52" i="4"/>
  <c r="H52" i="4"/>
  <c r="B53" i="4"/>
  <c r="G53" i="4"/>
  <c r="H53" i="4"/>
  <c r="D28" i="4" l="1"/>
  <c r="E8" i="4"/>
  <c r="D4" i="4"/>
  <c r="E12" i="4"/>
  <c r="E20" i="4"/>
  <c r="D52" i="4"/>
  <c r="D44" i="4"/>
  <c r="E36" i="4"/>
  <c r="D16" i="4"/>
  <c r="D32" i="4"/>
  <c r="D24" i="4"/>
  <c r="E48" i="4"/>
  <c r="E26" i="4"/>
  <c r="E30" i="4"/>
  <c r="E40" i="4"/>
  <c r="D34" i="4"/>
  <c r="D51" i="4"/>
  <c r="F51" i="4" s="1"/>
  <c r="E23" i="4"/>
  <c r="F23" i="4" s="1"/>
  <c r="D19" i="4"/>
  <c r="D3" i="4"/>
  <c r="D50" i="4"/>
  <c r="D46" i="4"/>
  <c r="D18" i="4"/>
  <c r="D14" i="4"/>
  <c r="E42" i="4"/>
  <c r="E39" i="4"/>
  <c r="F39" i="4" s="1"/>
  <c r="D35" i="4"/>
  <c r="F35" i="4" s="1"/>
  <c r="E10" i="4"/>
  <c r="E7" i="4"/>
  <c r="E43" i="4"/>
  <c r="E27" i="4"/>
  <c r="E11" i="4"/>
  <c r="E47" i="4"/>
  <c r="D38" i="4"/>
  <c r="E31" i="4"/>
  <c r="D22" i="4"/>
  <c r="E15" i="4"/>
  <c r="D6" i="4"/>
  <c r="E45" i="4"/>
  <c r="F45" i="4" s="1"/>
  <c r="E41" i="4"/>
  <c r="F41" i="4" s="1"/>
  <c r="E37" i="4"/>
  <c r="F37" i="4" s="1"/>
  <c r="E33" i="4"/>
  <c r="F33" i="4" s="1"/>
  <c r="E29" i="4"/>
  <c r="F29" i="4" s="1"/>
  <c r="E25" i="4"/>
  <c r="F25" i="4" s="1"/>
  <c r="E21" i="4"/>
  <c r="F21" i="4" s="1"/>
  <c r="E17" i="4"/>
  <c r="F17" i="4" s="1"/>
  <c r="E13" i="4"/>
  <c r="F13" i="4" s="1"/>
  <c r="E9" i="4"/>
  <c r="F9" i="4" s="1"/>
  <c r="E5" i="4"/>
  <c r="F5" i="4" s="1"/>
  <c r="E53" i="4"/>
  <c r="F53" i="4" s="1"/>
  <c r="E49" i="4"/>
  <c r="F49" i="4" s="1"/>
  <c r="C58" i="1"/>
  <c r="C51" i="1" s="1"/>
  <c r="B51" i="1"/>
  <c r="C46" i="1"/>
  <c r="F16" i="4" l="1"/>
  <c r="F4" i="4"/>
  <c r="F8" i="4"/>
  <c r="F31" i="4"/>
  <c r="F43" i="4"/>
  <c r="F20" i="4"/>
  <c r="F27" i="4"/>
  <c r="F47" i="4"/>
  <c r="F34" i="4"/>
  <c r="F50" i="4"/>
  <c r="F10" i="4"/>
  <c r="F46" i="4"/>
  <c r="F42" i="4"/>
  <c r="F12" i="4"/>
  <c r="F32" i="4"/>
  <c r="F48" i="4"/>
  <c r="F7" i="4"/>
  <c r="F15" i="4"/>
  <c r="F44" i="4"/>
  <c r="F22" i="4"/>
  <c r="F6" i="4"/>
  <c r="F24" i="4"/>
  <c r="B55" i="1"/>
  <c r="B57" i="1"/>
  <c r="B56" i="1"/>
  <c r="F46" i="1" s="1"/>
  <c r="F28" i="4"/>
  <c r="F11" i="4"/>
  <c r="F19" i="4"/>
  <c r="F14" i="4"/>
  <c r="F38" i="4"/>
  <c r="F26" i="4"/>
  <c r="F40" i="4"/>
  <c r="F36" i="4"/>
  <c r="F52" i="4"/>
  <c r="F18" i="4"/>
  <c r="F30" i="4"/>
  <c r="C57" i="1" l="1"/>
  <c r="C50" i="1" s="1"/>
  <c r="B50" i="1"/>
  <c r="C55" i="1"/>
  <c r="B48" i="1"/>
  <c r="C48" i="1" s="1"/>
  <c r="C56" i="1"/>
  <c r="C49" i="1" s="1"/>
  <c r="B49" i="1"/>
  <c r="F45" i="1" l="1"/>
  <c r="F44" i="1"/>
  <c r="C52" i="1"/>
  <c r="C59" i="1"/>
  <c r="C60" i="1" s="1"/>
  <c r="C5" i="1" s="1"/>
  <c r="C10" i="1" l="1"/>
  <c r="C53" i="1"/>
  <c r="C16" i="1" l="1"/>
  <c r="G14" i="1" s="1"/>
  <c r="G16" i="1" s="1"/>
  <c r="F28" i="1"/>
  <c r="J28" i="4" l="1"/>
  <c r="J23" i="4"/>
  <c r="J36" i="4"/>
  <c r="J52" i="4"/>
  <c r="J43" i="4"/>
  <c r="J21" i="4"/>
  <c r="J49" i="4"/>
  <c r="J50" i="4"/>
  <c r="J12" i="4"/>
  <c r="J37" i="4"/>
  <c r="J32" i="4"/>
  <c r="J45" i="4"/>
  <c r="J4" i="4"/>
  <c r="J11" i="4"/>
  <c r="J8" i="4"/>
  <c r="J17" i="4"/>
  <c r="J31" i="4"/>
  <c r="G17" i="1"/>
  <c r="J44" i="4"/>
  <c r="J42" i="4"/>
  <c r="J53" i="4"/>
  <c r="J26" i="4"/>
  <c r="J35" i="4"/>
  <c r="J25" i="4"/>
  <c r="J38" i="4"/>
  <c r="G18" i="1"/>
  <c r="J51" i="4"/>
  <c r="J5" i="4"/>
  <c r="J29" i="4"/>
  <c r="J30" i="4"/>
  <c r="J24" i="4"/>
  <c r="J22" i="4"/>
  <c r="J13" i="4"/>
  <c r="J46" i="4"/>
  <c r="J7" i="4"/>
  <c r="J33" i="4"/>
  <c r="J18" i="4"/>
  <c r="J16" i="4"/>
  <c r="J15" i="4"/>
  <c r="J41" i="4"/>
  <c r="J3" i="4"/>
  <c r="J27" i="4"/>
  <c r="J19" i="4"/>
  <c r="J34" i="4"/>
  <c r="J10" i="4"/>
  <c r="J40" i="4"/>
  <c r="J39" i="4"/>
  <c r="J6" i="4"/>
  <c r="J20" i="4"/>
  <c r="J48" i="4"/>
  <c r="J47" i="4"/>
  <c r="J14" i="4"/>
  <c r="F29" i="1"/>
  <c r="F31" i="1" s="1"/>
  <c r="J9" i="4"/>
  <c r="C17" i="1"/>
  <c r="C18" i="1" s="1"/>
  <c r="C11" i="1"/>
  <c r="I18" i="4"/>
  <c r="I34" i="4"/>
  <c r="I50" i="4"/>
  <c r="I11" i="4"/>
  <c r="I27" i="4"/>
  <c r="I8" i="4"/>
  <c r="I24" i="4"/>
  <c r="I47" i="4"/>
  <c r="I33" i="4"/>
  <c r="I5" i="4"/>
  <c r="I6" i="4"/>
  <c r="I22" i="4"/>
  <c r="I38" i="4"/>
  <c r="I15" i="4"/>
  <c r="I35" i="4"/>
  <c r="I12" i="4"/>
  <c r="I28" i="4"/>
  <c r="I44" i="4"/>
  <c r="I53" i="4"/>
  <c r="I10" i="4"/>
  <c r="I26" i="4"/>
  <c r="I42" i="4"/>
  <c r="I3" i="4"/>
  <c r="I19" i="4"/>
  <c r="I43" i="4"/>
  <c r="I16" i="4"/>
  <c r="I32" i="4"/>
  <c r="I48" i="4"/>
  <c r="I9" i="4"/>
  <c r="I25" i="4"/>
  <c r="I41" i="4"/>
  <c r="I31" i="4"/>
  <c r="I17" i="4"/>
  <c r="I49" i="4"/>
  <c r="I21" i="4"/>
  <c r="I14" i="4"/>
  <c r="I30" i="4"/>
  <c r="I46" i="4"/>
  <c r="I7" i="4"/>
  <c r="I23" i="4"/>
  <c r="I4" i="4"/>
  <c r="I20" i="4"/>
  <c r="I36" i="4"/>
  <c r="I52" i="4"/>
  <c r="I13" i="4"/>
  <c r="I29" i="4"/>
  <c r="I45" i="4"/>
  <c r="I39" i="4"/>
  <c r="I40" i="4"/>
  <c r="I51" i="4"/>
  <c r="I37" i="4"/>
  <c r="C25" i="1"/>
  <c r="G12" i="1"/>
  <c r="G8" i="1"/>
  <c r="G10" i="1" s="1"/>
  <c r="G11" i="1"/>
  <c r="C26" i="1" l="1"/>
  <c r="C21" i="1"/>
  <c r="C23" i="1" s="1"/>
  <c r="C12" i="1"/>
</calcChain>
</file>

<file path=xl/sharedStrings.xml><?xml version="1.0" encoding="utf-8"?>
<sst xmlns="http://schemas.openxmlformats.org/spreadsheetml/2006/main" count="98" uniqueCount="76">
  <si>
    <t>Ip (mA)</t>
  </si>
  <si>
    <t>kT (eV)</t>
  </si>
  <si>
    <t>Ip_1 (mA)</t>
  </si>
  <si>
    <t>Ip_2 (mA)</t>
  </si>
  <si>
    <t>V1 (V)</t>
  </si>
  <si>
    <t>V2(V)</t>
  </si>
  <si>
    <t>I0_1 (mA)</t>
  </si>
  <si>
    <t>I0_2 (mA)</t>
  </si>
  <si>
    <t>I (mA)</t>
  </si>
  <si>
    <t>n_1</t>
  </si>
  <si>
    <t>n_2</t>
  </si>
  <si>
    <t>n_1+n_2</t>
  </si>
  <si>
    <t>f</t>
  </si>
  <si>
    <t>1-f</t>
  </si>
  <si>
    <t>I_p1</t>
  </si>
  <si>
    <t>I_p2</t>
  </si>
  <si>
    <t>V (V)</t>
  </si>
  <si>
    <t>V2 (V)</t>
  </si>
  <si>
    <t>Isc (mA)</t>
  </si>
  <si>
    <t>u</t>
  </si>
  <si>
    <t>Voc (V)</t>
  </si>
  <si>
    <t>I_1</t>
  </si>
  <si>
    <t>I_2</t>
  </si>
  <si>
    <t>Ierror</t>
  </si>
  <si>
    <t>solve for Isc:</t>
  </si>
  <si>
    <t>Vm (V)</t>
  </si>
  <si>
    <t>Im (mA)</t>
  </si>
  <si>
    <t>cell 1:</t>
  </si>
  <si>
    <t>V1m (V)</t>
  </si>
  <si>
    <t>I1m (mA)</t>
  </si>
  <si>
    <t>P1m (mW)</t>
  </si>
  <si>
    <t>Pm (mW)</t>
  </si>
  <si>
    <t>V2m (V)</t>
  </si>
  <si>
    <t>cell 2:</t>
  </si>
  <si>
    <t>I2m (mA)</t>
  </si>
  <si>
    <t>P2m (mW)</t>
  </si>
  <si>
    <t>I1 (mA)</t>
  </si>
  <si>
    <t>V1oc (V)</t>
  </si>
  <si>
    <t>I1sc (mA)</t>
  </si>
  <si>
    <t>V2oc (V)</t>
  </si>
  <si>
    <t>I2sc (mA)</t>
  </si>
  <si>
    <t>I2 (mA)</t>
  </si>
  <si>
    <t>V1c (V)</t>
  </si>
  <si>
    <t>V2c V)</t>
  </si>
  <si>
    <t>I_sc (mA)</t>
  </si>
  <si>
    <t>I_p1 (mA)</t>
  </si>
  <si>
    <t>I_p2 (mA)</t>
  </si>
  <si>
    <t>P1 (mW)</t>
  </si>
  <si>
    <t>P2 (mW)</t>
  </si>
  <si>
    <t>Enter data here:</t>
  </si>
  <si>
    <t>A1</t>
  </si>
  <si>
    <t>A2</t>
  </si>
  <si>
    <t>B1</t>
  </si>
  <si>
    <t>B2</t>
  </si>
  <si>
    <t>r1</t>
  </si>
  <si>
    <t>r2</t>
  </si>
  <si>
    <t>total photocurrent</t>
  </si>
  <si>
    <t>thermal energy</t>
  </si>
  <si>
    <t>cell-1 ideality</t>
  </si>
  <si>
    <t>cell-1 dark current</t>
  </si>
  <si>
    <t>cell-2 ideality</t>
  </si>
  <si>
    <t>cell-2 dark current</t>
  </si>
  <si>
    <t>max. power point:</t>
  </si>
  <si>
    <t>cell-2 photocurrent fraction</t>
  </si>
  <si>
    <t>ideality</t>
  </si>
  <si>
    <t>dark current</t>
  </si>
  <si>
    <t>cell-2</t>
  </si>
  <si>
    <t>cell-1</t>
  </si>
  <si>
    <t>tandem:</t>
  </si>
  <si>
    <t>isolated:</t>
  </si>
  <si>
    <t>photocurrent</t>
  </si>
  <si>
    <t>voltage</t>
  </si>
  <si>
    <t>power</t>
  </si>
  <si>
    <t>open-circuit voltage</t>
  </si>
  <si>
    <t>short-circuit current</t>
  </si>
  <si>
    <t>current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</si>
</sst>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"/>
    <numFmt numFmtId="166" formatCode="0.00000"/>
    <numFmt numFmtId="167" formatCode="0.0000000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i/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4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DECD"/>
      </patternFill>
    </fill>
    <fill>
      <patternFill patternType="lightUp">
        <bgColor theme="9" tint="0.79992065187536243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164" fontId="5" fillId="2" borderId="1" applyBorder="0" applyProtection="0"/>
    <xf numFmtId="11" fontId="5" fillId="5" borderId="1"/>
    <xf numFmtId="0" fontId="5" fillId="6" borderId="1" applyBorder="0"/>
    <xf numFmtId="0" fontId="5" fillId="7" borderId="1" applyBorder="0"/>
    <xf numFmtId="0" fontId="5" fillId="8" borderId="0" applyBorder="0"/>
  </cellStyleXfs>
  <cellXfs count="31">
    <xf numFmtId="0" fontId="0" fillId="0" borderId="0" xfId="0"/>
    <xf numFmtId="11" fontId="0" fillId="0" borderId="0" xfId="0" applyNumberFormat="1"/>
    <xf numFmtId="164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3" fillId="0" borderId="0" xfId="0" applyFont="1"/>
    <xf numFmtId="165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0" xfId="0" applyFont="1"/>
    <xf numFmtId="164" fontId="5" fillId="2" borderId="1" xfId="1" applyBorder="1"/>
    <xf numFmtId="11" fontId="5" fillId="5" borderId="0" xfId="2" applyBorder="1"/>
    <xf numFmtId="165" fontId="0" fillId="0" borderId="3" xfId="0" applyNumberFormat="1" applyBorder="1"/>
    <xf numFmtId="0" fontId="0" fillId="0" borderId="4" xfId="0" applyBorder="1"/>
    <xf numFmtId="0" fontId="4" fillId="0" borderId="6" xfId="0" applyFont="1" applyBorder="1"/>
    <xf numFmtId="0" fontId="4" fillId="0" borderId="9" xfId="0" applyFont="1" applyBorder="1"/>
    <xf numFmtId="0" fontId="0" fillId="4" borderId="0" xfId="0" applyFill="1"/>
    <xf numFmtId="0" fontId="0" fillId="3" borderId="0" xfId="0" applyFill="1"/>
    <xf numFmtId="11" fontId="0" fillId="5" borderId="0" xfId="0" applyNumberFormat="1" applyFill="1"/>
    <xf numFmtId="0" fontId="5" fillId="8" borderId="1" xfId="5" applyBorder="1"/>
    <xf numFmtId="0" fontId="5" fillId="6" borderId="1" xfId="3" applyBorder="1"/>
    <xf numFmtId="11" fontId="5" fillId="5" borderId="1" xfId="2"/>
    <xf numFmtId="0" fontId="5" fillId="9" borderId="1" xfId="4" applyFill="1" applyBorder="1"/>
    <xf numFmtId="164" fontId="5" fillId="7" borderId="0" xfId="4" applyNumberFormat="1" applyBorder="1"/>
    <xf numFmtId="164" fontId="1" fillId="0" borderId="0" xfId="0" applyNumberFormat="1" applyFont="1"/>
    <xf numFmtId="164" fontId="5" fillId="2" borderId="0" xfId="1" applyNumberFormat="1" applyBorder="1"/>
  </cellXfs>
  <cellStyles count="6">
    <cellStyle name="energy_eV" xfId="5" xr:uid="{2D5F7F4D-5DE3-A541-BE5E-D42A40058F0D}"/>
    <cellStyle name="f_frac" xfId="4" xr:uid="{33EFC6D3-689B-0443-A410-D1B4EC60562C}"/>
    <cellStyle name="I_large" xfId="1" xr:uid="{646015BD-7E34-6A4D-B8F4-3516265D7B2D}"/>
    <cellStyle name="I_small" xfId="2" xr:uid="{C1A87543-32B0-7B4B-A249-A81561464206}"/>
    <cellStyle name="n_fac" xfId="3" xr:uid="{7DA42C07-FD10-864A-8702-706924AB6993}"/>
    <cellStyle name="Normal" xfId="0" builtinId="0"/>
  </cellStyles>
  <dxfs count="0"/>
  <tableStyles count="0" defaultTableStyle="TableStyleMedium2" defaultPivotStyle="PivotStyleLight16"/>
  <colors>
    <mruColors>
      <color rgb="FFFFDECD"/>
      <color rgb="FFFFFF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tandem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calc!$F$3:$F$53</c:f>
              <c:numCache>
                <c:formatCode>0.0000</c:formatCode>
                <c:ptCount val="51"/>
                <c:pt idx="0">
                  <c:v>0</c:v>
                </c:pt>
                <c:pt idx="1">
                  <c:v>1.0846590954755568</c:v>
                </c:pt>
                <c:pt idx="2">
                  <c:v>1.1196674973813057</c:v>
                </c:pt>
                <c:pt idx="3">
                  <c:v>1.1407118175069044</c:v>
                </c:pt>
                <c:pt idx="4">
                  <c:v>1.1558956097928896</c:v>
                </c:pt>
                <c:pt idx="5">
                  <c:v>1.1678343991266966</c:v>
                </c:pt>
                <c:pt idx="6">
                  <c:v>1.1777087440914431</c:v>
                </c:pt>
                <c:pt idx="7">
                  <c:v>1.1861533090196592</c:v>
                </c:pt>
                <c:pt idx="8">
                  <c:v>1.1935488978137583</c:v>
                </c:pt>
                <c:pt idx="9">
                  <c:v>1.2001420496827198</c:v>
                </c:pt>
                <c:pt idx="10">
                  <c:v>1.2061015711871663</c:v>
                </c:pt>
                <c:pt idx="11">
                  <c:v>1.2115481286113532</c:v>
                </c:pt>
                <c:pt idx="12">
                  <c:v>1.2165709741020159</c:v>
                </c:pt>
                <c:pt idx="13">
                  <c:v>1.2212379845703318</c:v>
                </c:pt>
                <c:pt idx="14">
                  <c:v>1.2256019854681068</c:v>
                </c:pt>
                <c:pt idx="15">
                  <c:v>1.2297048961799173</c:v>
                </c:pt>
                <c:pt idx="16">
                  <c:v>1.2335805397580604</c:v>
                </c:pt>
                <c:pt idx="17">
                  <c:v>1.2372566023058935</c:v>
                </c:pt>
                <c:pt idx="18">
                  <c:v>1.2407560332872043</c:v>
                </c:pt>
                <c:pt idx="19">
                  <c:v>1.2440980678967537</c:v>
                </c:pt>
                <c:pt idx="20">
                  <c:v>1.2472989876535574</c:v>
                </c:pt>
                <c:pt idx="21">
                  <c:v>1.2503726957470818</c:v>
                </c:pt>
                <c:pt idx="22">
                  <c:v>1.2533311587724532</c:v>
                </c:pt>
                <c:pt idx="23">
                  <c:v>1.2561847504416392</c:v>
                </c:pt>
                <c:pt idx="24">
                  <c:v>1.258942522267755</c:v>
                </c:pt>
                <c:pt idx="25">
                  <c:v>1.2616124190849116</c:v>
                </c:pt>
                <c:pt idx="26">
                  <c:v>1.2642014523677036</c:v>
                </c:pt>
                <c:pt idx="27">
                  <c:v>1.2667158408935673</c:v>
                </c:pt>
                <c:pt idx="28">
                  <c:v>1.2691611258646172</c:v>
                </c:pt>
                <c:pt idx="29">
                  <c:v>1.2715422658594897</c:v>
                </c:pt>
                <c:pt idx="30">
                  <c:v>1.2738637157127037</c:v>
                </c:pt>
                <c:pt idx="31">
                  <c:v>1.2761294924796385</c:v>
                </c:pt>
                <c:pt idx="32">
                  <c:v>1.2783432309441594</c:v>
                </c:pt>
                <c:pt idx="33">
                  <c:v>1.2805082305972721</c:v>
                </c:pt>
                <c:pt idx="34">
                  <c:v>1.2826274956126591</c:v>
                </c:pt>
                <c:pt idx="35">
                  <c:v>1.2847037690356733</c:v>
                </c:pt>
                <c:pt idx="36">
                  <c:v>1.2867395621627251</c:v>
                </c:pt>
                <c:pt idx="37">
                  <c:v>1.2887371799008249</c:v>
                </c:pt>
                <c:pt idx="38">
                  <c:v>1.2906987427497703</c:v>
                </c:pt>
                <c:pt idx="39">
                  <c:v>1.2926262059327671</c:v>
                </c:pt>
                <c:pt idx="40">
                  <c:v>1.2945213761081855</c:v>
                </c:pt>
                <c:pt idx="41">
                  <c:v>1.2963859260204316</c:v>
                </c:pt>
                <c:pt idx="42">
                  <c:v>1.2982214073876017</c:v>
                </c:pt>
                <c:pt idx="43">
                  <c:v>1.300029262274591</c:v>
                </c:pt>
                <c:pt idx="44">
                  <c:v>1.3018108331603604</c:v>
                </c:pt>
                <c:pt idx="45">
                  <c:v>1.303567371875259</c:v>
                </c:pt>
                <c:pt idx="46">
                  <c:v>1.3053000475572643</c:v>
                </c:pt>
                <c:pt idx="47">
                  <c:v>1.3070099537536177</c:v>
                </c:pt>
                <c:pt idx="48">
                  <c:v>1.3086981147757024</c:v>
                </c:pt>
                <c:pt idx="49">
                  <c:v>1.310365491399462</c:v>
                </c:pt>
                <c:pt idx="50">
                  <c:v>1.3120129859906231</c:v>
                </c:pt>
              </c:numCache>
            </c:numRef>
          </c:xVal>
          <c:yVal>
            <c:numRef>
              <c:f>calc!$C$3:$C$53</c:f>
              <c:numCache>
                <c:formatCode>0.0000</c:formatCode>
                <c:ptCount val="51"/>
                <c:pt idx="0">
                  <c:v>0.99933665888030565</c:v>
                </c:pt>
                <c:pt idx="1">
                  <c:v>0.98758774824592643</c:v>
                </c:pt>
                <c:pt idx="2">
                  <c:v>0.97560149387287798</c:v>
                </c:pt>
                <c:pt idx="3">
                  <c:v>0.96337310109959251</c:v>
                </c:pt>
                <c:pt idx="4">
                  <c:v>0.9508976784059131</c:v>
                </c:pt>
                <c:pt idx="5">
                  <c:v>0.93817023545642131</c:v>
                </c:pt>
                <c:pt idx="6">
                  <c:v>0.9251856811042356</c:v>
                </c:pt>
                <c:pt idx="7">
                  <c:v>0.91193882135448556</c:v>
                </c:pt>
                <c:pt idx="8">
                  <c:v>0.89842435728664405</c:v>
                </c:pt>
                <c:pt idx="9">
                  <c:v>0.88463688293488874</c:v>
                </c:pt>
                <c:pt idx="10">
                  <c:v>0.87057088312564335</c:v>
                </c:pt>
                <c:pt idx="11">
                  <c:v>0.85622073127143528</c:v>
                </c:pt>
                <c:pt idx="12">
                  <c:v>0.84158068712018452</c:v>
                </c:pt>
                <c:pt idx="13">
                  <c:v>0.82664489445902778</c:v>
                </c:pt>
                <c:pt idx="14">
                  <c:v>0.81140737877175395</c:v>
                </c:pt>
                <c:pt idx="15">
                  <c:v>0.79586204484891832</c:v>
                </c:pt>
                <c:pt idx="16">
                  <c:v>0.78000267434967807</c:v>
                </c:pt>
                <c:pt idx="17">
                  <c:v>0.7638229233143724</c:v>
                </c:pt>
                <c:pt idx="18">
                  <c:v>0.74731631962685441</c:v>
                </c:pt>
                <c:pt idx="19">
                  <c:v>0.73047626042555769</c:v>
                </c:pt>
                <c:pt idx="20">
                  <c:v>0.71329600946226501</c:v>
                </c:pt>
                <c:pt idx="21">
                  <c:v>0.69576869440751798</c:v>
                </c:pt>
                <c:pt idx="22">
                  <c:v>0.67788730410159359</c:v>
                </c:pt>
                <c:pt idx="23">
                  <c:v>0.65964468574994839</c:v>
                </c:pt>
                <c:pt idx="24">
                  <c:v>0.64103354206200303</c:v>
                </c:pt>
                <c:pt idx="25">
                  <c:v>0.62204642833213086</c:v>
                </c:pt>
                <c:pt idx="26">
                  <c:v>0.60267574946167479</c:v>
                </c:pt>
                <c:pt idx="27">
                  <c:v>0.58291375692080749</c:v>
                </c:pt>
                <c:pt idx="28">
                  <c:v>0.562752545649016</c:v>
                </c:pt>
                <c:pt idx="29">
                  <c:v>0.54218405089297195</c:v>
                </c:pt>
                <c:pt idx="30">
                  <c:v>0.52120004498052241</c:v>
                </c:pt>
                <c:pt idx="31">
                  <c:v>0.49979213402951184</c:v>
                </c:pt>
                <c:pt idx="32">
                  <c:v>0.47795175459011752</c:v>
                </c:pt>
                <c:pt idx="33">
                  <c:v>0.45567017021935452</c:v>
                </c:pt>
                <c:pt idx="34">
                  <c:v>0.43293846798638302</c:v>
                </c:pt>
                <c:pt idx="35">
                  <c:v>0.40974755490721632</c:v>
                </c:pt>
                <c:pt idx="36">
                  <c:v>0.38608815430740645</c:v>
                </c:pt>
                <c:pt idx="37">
                  <c:v>0.36195080211125064</c:v>
                </c:pt>
                <c:pt idx="38">
                  <c:v>0.33732584305603464</c:v>
                </c:pt>
                <c:pt idx="39">
                  <c:v>0.31220342682979918</c:v>
                </c:pt>
                <c:pt idx="40">
                  <c:v>0.28657350413108362</c:v>
                </c:pt>
                <c:pt idx="41">
                  <c:v>0.26042582264907221</c:v>
                </c:pt>
                <c:pt idx="42">
                  <c:v>0.23374992296253161</c:v>
                </c:pt>
                <c:pt idx="43">
                  <c:v>0.20653513435590326</c:v>
                </c:pt>
                <c:pt idx="44">
                  <c:v>0.17877057055087608</c:v>
                </c:pt>
                <c:pt idx="45">
                  <c:v>0.15044512535172885</c:v>
                </c:pt>
                <c:pt idx="46">
                  <c:v>0.12154746820270464</c:v>
                </c:pt>
                <c:pt idx="47">
                  <c:v>9.2066039655636325E-2</c:v>
                </c:pt>
                <c:pt idx="48">
                  <c:v>6.1989046746014367E-2</c:v>
                </c:pt>
                <c:pt idx="49">
                  <c:v>3.1304458275642821E-2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A-5746-AEAC-2496E8DF0B14}"/>
            </c:ext>
          </c:extLst>
        </c:ser>
        <c:ser>
          <c:idx val="2"/>
          <c:order val="1"/>
          <c:tx>
            <c:v>cell1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calc!$G$3:$G$53</c:f>
              <c:numCache>
                <c:formatCode>0.0000</c:formatCode>
                <c:ptCount val="51"/>
                <c:pt idx="0">
                  <c:v>0</c:v>
                </c:pt>
                <c:pt idx="1">
                  <c:v>1.1927390781735315E-2</c:v>
                </c:pt>
                <c:pt idx="2">
                  <c:v>2.385478156347063E-2</c:v>
                </c:pt>
                <c:pt idx="3">
                  <c:v>3.5782172345205941E-2</c:v>
                </c:pt>
                <c:pt idx="4">
                  <c:v>4.770956312694126E-2</c:v>
                </c:pt>
                <c:pt idx="5">
                  <c:v>5.9636953908676571E-2</c:v>
                </c:pt>
                <c:pt idx="6">
                  <c:v>7.1564344690411882E-2</c:v>
                </c:pt>
                <c:pt idx="7">
                  <c:v>8.3491735472147208E-2</c:v>
                </c:pt>
                <c:pt idx="8">
                  <c:v>9.5419126253882519E-2</c:v>
                </c:pt>
                <c:pt idx="9">
                  <c:v>0.10734651703561783</c:v>
                </c:pt>
                <c:pt idx="10">
                  <c:v>0.11927390781735314</c:v>
                </c:pt>
                <c:pt idx="11">
                  <c:v>0.13120129859908847</c:v>
                </c:pt>
                <c:pt idx="12">
                  <c:v>0.14312868938082376</c:v>
                </c:pt>
                <c:pt idx="13">
                  <c:v>0.15505608016255909</c:v>
                </c:pt>
                <c:pt idx="14">
                  <c:v>0.16698347094429442</c:v>
                </c:pt>
                <c:pt idx="15">
                  <c:v>0.17891086172602971</c:v>
                </c:pt>
                <c:pt idx="16">
                  <c:v>0.19083825250776504</c:v>
                </c:pt>
                <c:pt idx="17">
                  <c:v>0.20276564328950036</c:v>
                </c:pt>
                <c:pt idx="18">
                  <c:v>0.21469303407123566</c:v>
                </c:pt>
                <c:pt idx="19">
                  <c:v>0.22662042485297096</c:v>
                </c:pt>
                <c:pt idx="20">
                  <c:v>0.23854781563470628</c:v>
                </c:pt>
                <c:pt idx="21">
                  <c:v>0.25047520641644161</c:v>
                </c:pt>
                <c:pt idx="22">
                  <c:v>0.26240259719817693</c:v>
                </c:pt>
                <c:pt idx="23">
                  <c:v>0.27432998797991226</c:v>
                </c:pt>
                <c:pt idx="24">
                  <c:v>0.28625737876164753</c:v>
                </c:pt>
                <c:pt idx="25">
                  <c:v>0.29818476954338285</c:v>
                </c:pt>
                <c:pt idx="26">
                  <c:v>0.31011216032511818</c:v>
                </c:pt>
                <c:pt idx="27">
                  <c:v>0.32203955110685351</c:v>
                </c:pt>
                <c:pt idx="28">
                  <c:v>0.33396694188858883</c:v>
                </c:pt>
                <c:pt idx="29">
                  <c:v>0.3458943326703241</c:v>
                </c:pt>
                <c:pt idx="30">
                  <c:v>0.35782172345205943</c:v>
                </c:pt>
                <c:pt idx="31">
                  <c:v>0.36974911423379475</c:v>
                </c:pt>
                <c:pt idx="32">
                  <c:v>0.38167650501553008</c:v>
                </c:pt>
                <c:pt idx="33">
                  <c:v>0.3936038957972654</c:v>
                </c:pt>
                <c:pt idx="34">
                  <c:v>0.40553128657900073</c:v>
                </c:pt>
                <c:pt idx="35">
                  <c:v>0.41745867736073605</c:v>
                </c:pt>
                <c:pt idx="36">
                  <c:v>0.42938606814247132</c:v>
                </c:pt>
                <c:pt idx="37">
                  <c:v>0.44131345892420665</c:v>
                </c:pt>
                <c:pt idx="38">
                  <c:v>0.45324084970594192</c:v>
                </c:pt>
                <c:pt idx="39">
                  <c:v>0.46516824048767724</c:v>
                </c:pt>
                <c:pt idx="40">
                  <c:v>0.47709563126941257</c:v>
                </c:pt>
                <c:pt idx="41">
                  <c:v>0.48902302205114789</c:v>
                </c:pt>
                <c:pt idx="42">
                  <c:v>0.50095041283288322</c:v>
                </c:pt>
                <c:pt idx="43">
                  <c:v>0.51287780361461854</c:v>
                </c:pt>
                <c:pt idx="44">
                  <c:v>0.52480519439635387</c:v>
                </c:pt>
                <c:pt idx="45">
                  <c:v>0.53673258517808919</c:v>
                </c:pt>
                <c:pt idx="46">
                  <c:v>0.54865997595982452</c:v>
                </c:pt>
                <c:pt idx="47">
                  <c:v>0.56058736674155984</c:v>
                </c:pt>
                <c:pt idx="48">
                  <c:v>0.57251475752329506</c:v>
                </c:pt>
                <c:pt idx="49">
                  <c:v>0.58444214830503038</c:v>
                </c:pt>
                <c:pt idx="50">
                  <c:v>0.59636953908676571</c:v>
                </c:pt>
              </c:numCache>
            </c:numRef>
          </c:xVal>
          <c:yVal>
            <c:numRef>
              <c:f>calc!$I$3:$I$53</c:f>
              <c:numCache>
                <c:formatCode>0.0000</c:formatCode>
                <c:ptCount val="51"/>
                <c:pt idx="0">
                  <c:v>0.99999999995050004</c:v>
                </c:pt>
                <c:pt idx="1">
                  <c:v>0.99999999989201072</c:v>
                </c:pt>
                <c:pt idx="2">
                  <c:v>0.99999999979931142</c:v>
                </c:pt>
                <c:pt idx="3">
                  <c:v>0.99999999965239283</c:v>
                </c:pt>
                <c:pt idx="4">
                  <c:v>0.99999999941954265</c:v>
                </c:pt>
                <c:pt idx="5">
                  <c:v>0.99999999905050008</c:v>
                </c:pt>
                <c:pt idx="6">
                  <c:v>0.99999999846560683</c:v>
                </c:pt>
                <c:pt idx="7">
                  <c:v>0.99999999753861357</c:v>
                </c:pt>
                <c:pt idx="8">
                  <c:v>0.99999999606942835</c:v>
                </c:pt>
                <c:pt idx="9">
                  <c:v>0.99999999374092663</c:v>
                </c:pt>
                <c:pt idx="10">
                  <c:v>0.9999999900505</c:v>
                </c:pt>
                <c:pt idx="11">
                  <c:v>0.9999999842015681</c:v>
                </c:pt>
                <c:pt idx="12">
                  <c:v>0.99999997493163573</c:v>
                </c:pt>
                <c:pt idx="13">
                  <c:v>0.99999996023978299</c:v>
                </c:pt>
                <c:pt idx="14">
                  <c:v>0.99999993695476563</c:v>
                </c:pt>
                <c:pt idx="15">
                  <c:v>0.99999990005049999</c:v>
                </c:pt>
                <c:pt idx="16">
                  <c:v>0.99999984156118082</c:v>
                </c:pt>
                <c:pt idx="17">
                  <c:v>0.99999974886185683</c:v>
                </c:pt>
                <c:pt idx="18">
                  <c:v>0.99999960194332949</c:v>
                </c:pt>
                <c:pt idx="19">
                  <c:v>0.99999936909315557</c:v>
                </c:pt>
                <c:pt idx="20">
                  <c:v>0.99999900005050002</c:v>
                </c:pt>
                <c:pt idx="21">
                  <c:v>0.99999841515730759</c:v>
                </c:pt>
                <c:pt idx="22">
                  <c:v>0.99999748816406853</c:v>
                </c:pt>
                <c:pt idx="23">
                  <c:v>0.99999601897879442</c:v>
                </c:pt>
                <c:pt idx="24">
                  <c:v>0.99999369047705511</c:v>
                </c:pt>
                <c:pt idx="25">
                  <c:v>0.99999000005049976</c:v>
                </c:pt>
                <c:pt idx="26">
                  <c:v>0.99998415111857497</c:v>
                </c:pt>
                <c:pt idx="27">
                  <c:v>0.99997488118618427</c:v>
                </c:pt>
                <c:pt idx="28">
                  <c:v>0.99996018933344355</c:v>
                </c:pt>
                <c:pt idx="29">
                  <c:v>0.9999369043160502</c:v>
                </c:pt>
                <c:pt idx="30">
                  <c:v>0.99990000005049706</c:v>
                </c:pt>
                <c:pt idx="31">
                  <c:v>0.99984151073124894</c:v>
                </c:pt>
                <c:pt idx="32">
                  <c:v>0.99974881140734095</c:v>
                </c:pt>
                <c:pt idx="33">
                  <c:v>0.99960189287993328</c:v>
                </c:pt>
                <c:pt idx="34">
                  <c:v>0.99936904270599813</c:v>
                </c:pt>
                <c:pt idx="35">
                  <c:v>0.99900000005046474</c:v>
                </c:pt>
                <c:pt idx="36">
                  <c:v>0.99841510685798129</c:v>
                </c:pt>
                <c:pt idx="37">
                  <c:v>0.99748811361889655</c:v>
                </c:pt>
                <c:pt idx="38">
                  <c:v>0.99601892834481232</c:v>
                </c:pt>
                <c:pt idx="39">
                  <c:v>0.99369042660544959</c:v>
                </c:pt>
                <c:pt idx="40">
                  <c:v>0.99000000005009603</c:v>
                </c:pt>
                <c:pt idx="41">
                  <c:v>0.98415106812523256</c:v>
                </c:pt>
                <c:pt idx="42">
                  <c:v>0.97488113573433877</c:v>
                </c:pt>
                <c:pt idx="43">
                  <c:v>0.96018928299342143</c:v>
                </c:pt>
                <c:pt idx="44">
                  <c:v>0.93690426559967688</c:v>
                </c:pt>
                <c:pt idx="45">
                  <c:v>0.90000000004595515</c:v>
                </c:pt>
                <c:pt idx="46">
                  <c:v>0.84151068079702529</c:v>
                </c:pt>
                <c:pt idx="47">
                  <c:v>0.74881135688761802</c:v>
                </c:pt>
                <c:pt idx="48">
                  <c:v>0.60189282947770351</c:v>
                </c:pt>
                <c:pt idx="49">
                  <c:v>0.369042655539082</c:v>
                </c:pt>
                <c:pt idx="50">
                  <c:v>1.4432899320127035E-15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01-CC45-801D-E0855B4C99FC}"/>
            </c:ext>
          </c:extLst>
        </c:ser>
        <c:ser>
          <c:idx val="3"/>
          <c:order val="2"/>
          <c:tx>
            <c:v>cell2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calc!$H$3:$H$53</c:f>
              <c:numCache>
                <c:formatCode>0.0000</c:formatCode>
                <c:ptCount val="51"/>
                <c:pt idx="0">
                  <c:v>0</c:v>
                </c:pt>
                <c:pt idx="1">
                  <c:v>1.4312868938077148E-2</c:v>
                </c:pt>
                <c:pt idx="2">
                  <c:v>2.8625737876154297E-2</c:v>
                </c:pt>
                <c:pt idx="3">
                  <c:v>4.2938606814231443E-2</c:v>
                </c:pt>
                <c:pt idx="4">
                  <c:v>5.7251475752308593E-2</c:v>
                </c:pt>
                <c:pt idx="5">
                  <c:v>7.1564344690385737E-2</c:v>
                </c:pt>
                <c:pt idx="6">
                  <c:v>8.5877213628462887E-2</c:v>
                </c:pt>
                <c:pt idx="7">
                  <c:v>0.10019008256654005</c:v>
                </c:pt>
                <c:pt idx="8">
                  <c:v>0.11450295150461719</c:v>
                </c:pt>
                <c:pt idx="9">
                  <c:v>0.12881582044269432</c:v>
                </c:pt>
                <c:pt idx="10">
                  <c:v>0.14312868938077147</c:v>
                </c:pt>
                <c:pt idx="11">
                  <c:v>0.15744155831884862</c:v>
                </c:pt>
                <c:pt idx="12">
                  <c:v>0.17175442725692577</c:v>
                </c:pt>
                <c:pt idx="13">
                  <c:v>0.18606729619500292</c:v>
                </c:pt>
                <c:pt idx="14">
                  <c:v>0.2003801651330801</c:v>
                </c:pt>
                <c:pt idx="15">
                  <c:v>0.21469303407115722</c:v>
                </c:pt>
                <c:pt idx="16">
                  <c:v>0.22900590300923437</c:v>
                </c:pt>
                <c:pt idx="17">
                  <c:v>0.24331877194731152</c:v>
                </c:pt>
                <c:pt idx="18">
                  <c:v>0.25763164088538865</c:v>
                </c:pt>
                <c:pt idx="19">
                  <c:v>0.2719445098234658</c:v>
                </c:pt>
                <c:pt idx="20">
                  <c:v>0.28625737876154295</c:v>
                </c:pt>
                <c:pt idx="21">
                  <c:v>0.3005702476996201</c:v>
                </c:pt>
                <c:pt idx="22">
                  <c:v>0.31488311663769725</c:v>
                </c:pt>
                <c:pt idx="23">
                  <c:v>0.3291959855757744</c:v>
                </c:pt>
                <c:pt idx="24">
                  <c:v>0.34350885451385155</c:v>
                </c:pt>
                <c:pt idx="25">
                  <c:v>0.3578217234519287</c:v>
                </c:pt>
                <c:pt idx="26">
                  <c:v>0.37213459239000585</c:v>
                </c:pt>
                <c:pt idx="27">
                  <c:v>0.386447461328083</c:v>
                </c:pt>
                <c:pt idx="28">
                  <c:v>0.4007603302661602</c:v>
                </c:pt>
                <c:pt idx="29">
                  <c:v>0.41507319920423724</c:v>
                </c:pt>
                <c:pt idx="30">
                  <c:v>0.42938606814231445</c:v>
                </c:pt>
                <c:pt idx="31">
                  <c:v>0.4436989370803916</c:v>
                </c:pt>
                <c:pt idx="32">
                  <c:v>0.45801180601846875</c:v>
                </c:pt>
                <c:pt idx="33">
                  <c:v>0.4723246749565459</c:v>
                </c:pt>
                <c:pt idx="34">
                  <c:v>0.48663754389462305</c:v>
                </c:pt>
                <c:pt idx="35">
                  <c:v>0.50095041283270025</c:v>
                </c:pt>
                <c:pt idx="36">
                  <c:v>0.51526328177077729</c:v>
                </c:pt>
                <c:pt idx="37">
                  <c:v>0.52957615070885444</c:v>
                </c:pt>
                <c:pt idx="38">
                  <c:v>0.54388901964693159</c:v>
                </c:pt>
                <c:pt idx="39">
                  <c:v>0.55820188858500874</c:v>
                </c:pt>
                <c:pt idx="40">
                  <c:v>0.57251475752308589</c:v>
                </c:pt>
                <c:pt idx="41">
                  <c:v>0.58682762646116315</c:v>
                </c:pt>
                <c:pt idx="42">
                  <c:v>0.60114049539924019</c:v>
                </c:pt>
                <c:pt idx="43">
                  <c:v>0.61545336433731734</c:v>
                </c:pt>
                <c:pt idx="44">
                  <c:v>0.62976623327539449</c:v>
                </c:pt>
                <c:pt idx="45">
                  <c:v>0.64407910221347164</c:v>
                </c:pt>
                <c:pt idx="46">
                  <c:v>0.65839197115154879</c:v>
                </c:pt>
                <c:pt idx="47">
                  <c:v>0.67270484008962594</c:v>
                </c:pt>
                <c:pt idx="48">
                  <c:v>0.68701770902770309</c:v>
                </c:pt>
                <c:pt idx="49">
                  <c:v>0.70133057796578024</c:v>
                </c:pt>
                <c:pt idx="50">
                  <c:v>0.71564344690385739</c:v>
                </c:pt>
              </c:numCache>
            </c:numRef>
          </c:xVal>
          <c:yVal>
            <c:numRef>
              <c:f>calc!$J$3:$J$53</c:f>
              <c:numCache>
                <c:formatCode>0.0000</c:formatCode>
                <c:ptCount val="51"/>
                <c:pt idx="0">
                  <c:v>1.0000000000495</c:v>
                </c:pt>
                <c:pt idx="1">
                  <c:v>1.0000000000487621</c:v>
                </c:pt>
                <c:pt idx="2">
                  <c:v>1.00000000004748</c:v>
                </c:pt>
                <c:pt idx="3">
                  <c:v>1.0000000000452518</c:v>
                </c:pt>
                <c:pt idx="4">
                  <c:v>1.0000000000413798</c:v>
                </c:pt>
                <c:pt idx="5">
                  <c:v>1.0000000000346509</c:v>
                </c:pt>
                <c:pt idx="6">
                  <c:v>1.0000000000229576</c:v>
                </c:pt>
                <c:pt idx="7">
                  <c:v>1.000000000002637</c:v>
                </c:pt>
                <c:pt idx="8">
                  <c:v>0.99999999996732358</c:v>
                </c:pt>
                <c:pt idx="9">
                  <c:v>0.99999999990595601</c:v>
                </c:pt>
                <c:pt idx="10">
                  <c:v>0.99999999979931131</c:v>
                </c:pt>
                <c:pt idx="11">
                  <c:v>0.99999999961398411</c:v>
                </c:pt>
                <c:pt idx="12">
                  <c:v>0.9999999992919224</c:v>
                </c:pt>
                <c:pt idx="13">
                  <c:v>0.99999999873224321</c:v>
                </c:pt>
                <c:pt idx="14">
                  <c:v>0.99999999775963233</c:v>
                </c:pt>
                <c:pt idx="15">
                  <c:v>0.99999999606942824</c:v>
                </c:pt>
                <c:pt idx="16">
                  <c:v>0.99999999313219023</c:v>
                </c:pt>
                <c:pt idx="17">
                  <c:v>0.99999998802785561</c:v>
                </c:pt>
                <c:pt idx="18">
                  <c:v>0.99999997915753869</c:v>
                </c:pt>
                <c:pt idx="19">
                  <c:v>0.99999996374269451</c:v>
                </c:pt>
                <c:pt idx="20">
                  <c:v>0.99999993695476552</c:v>
                </c:pt>
                <c:pt idx="21">
                  <c:v>0.99999989040268034</c:v>
                </c:pt>
                <c:pt idx="22">
                  <c:v>0.99999980950442813</c:v>
                </c:pt>
                <c:pt idx="23">
                  <c:v>0.99999966891937841</c:v>
                </c:pt>
                <c:pt idx="24">
                  <c:v>0.99999942461056257</c:v>
                </c:pt>
                <c:pt idx="25">
                  <c:v>0.99999900005049991</c:v>
                </c:pt>
                <c:pt idx="26">
                  <c:v>0.99999826224967114</c:v>
                </c:pt>
                <c:pt idx="27">
                  <c:v>0.99999698009877946</c:v>
                </c:pt>
                <c:pt idx="28">
                  <c:v>0.99999475197589727</c:v>
                </c:pt>
                <c:pt idx="29">
                  <c:v>0.99999087994210611</c:v>
                </c:pt>
                <c:pt idx="30">
                  <c:v>0.99998415111857486</c:v>
                </c:pt>
                <c:pt idx="31">
                  <c:v>0.99997245776346566</c:v>
                </c:pt>
                <c:pt idx="32">
                  <c:v>0.99995213704126618</c:v>
                </c:pt>
                <c:pt idx="33">
                  <c:v>0.99991682367338697</c:v>
                </c:pt>
                <c:pt idx="34">
                  <c:v>0.99985545607342041</c:v>
                </c:pt>
                <c:pt idx="35">
                  <c:v>0.99974881140734007</c:v>
                </c:pt>
                <c:pt idx="36">
                  <c:v>0.99956348421824393</c:v>
                </c:pt>
                <c:pt idx="37">
                  <c:v>0.99924142247544245</c:v>
                </c:pt>
                <c:pt idx="38">
                  <c:v>0.99868174331189297</c:v>
                </c:pt>
                <c:pt idx="39">
                  <c:v>0.99770913239764192</c:v>
                </c:pt>
                <c:pt idx="40">
                  <c:v>0.9960189283448041</c:v>
                </c:pt>
                <c:pt idx="41">
                  <c:v>0.99308169034102411</c:v>
                </c:pt>
                <c:pt idx="42">
                  <c:v>0.98797735570381584</c:v>
                </c:pt>
                <c:pt idx="43">
                  <c:v>0.97910703874105209</c:v>
                </c:pt>
                <c:pt idx="44">
                  <c:v>0.96369219457187616</c:v>
                </c:pt>
                <c:pt idx="45">
                  <c:v>0.93690426559961271</c:v>
                </c:pt>
                <c:pt idx="46">
                  <c:v>0.89035218043108688</c:v>
                </c:pt>
                <c:pt idx="47">
                  <c:v>0.80945392824512929</c:v>
                </c:pt>
                <c:pt idx="48">
                  <c:v>0.66886887855185551</c:v>
                </c:pt>
                <c:pt idx="49">
                  <c:v>0.42456006268486413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01-CC45-801D-E0855B4C99FC}"/>
            </c:ext>
          </c:extLst>
        </c:ser>
        <c:ser>
          <c:idx val="1"/>
          <c:order val="3"/>
          <c:tx>
            <c:v>Pmax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tandem!$C$21</c:f>
              <c:numCache>
                <c:formatCode>0.0000</c:formatCode>
                <c:ptCount val="1"/>
                <c:pt idx="0">
                  <c:v>1.149180693475149</c:v>
                </c:pt>
              </c:numCache>
            </c:numRef>
          </c:xVal>
          <c:yVal>
            <c:numRef>
              <c:f>tandem!$C$22</c:f>
              <c:numCache>
                <c:formatCode>0.0000</c:formatCode>
                <c:ptCount val="1"/>
                <c:pt idx="0">
                  <c:v>0.95686758824485696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13-CC45-993C-B415932313D5}"/>
            </c:ext>
          </c:extLst>
        </c:ser>
        <c:ser>
          <c:idx val="4"/>
          <c:order val="4"/>
          <c:tx>
            <c:v>P1max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5"/>
              </a:solidFill>
              <a:ln w="9525">
                <a:noFill/>
              </a:ln>
              <a:effectLst/>
            </c:spPr>
          </c:marker>
          <c:xVal>
            <c:numRef>
              <c:f>tandem!$G$8</c:f>
              <c:numCache>
                <c:formatCode>0.0000</c:formatCode>
                <c:ptCount val="1"/>
                <c:pt idx="0">
                  <c:v>0.51753855423556971</c:v>
                </c:pt>
              </c:numCache>
            </c:numRef>
          </c:xVal>
          <c:yVal>
            <c:numRef>
              <c:f>tandem!$G$9</c:f>
              <c:numCache>
                <c:formatCode>0.0000</c:formatCode>
                <c:ptCount val="1"/>
                <c:pt idx="0">
                  <c:v>0.9523402174468053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01-CC45-801D-E0855B4C99FC}"/>
            </c:ext>
          </c:extLst>
        </c:ser>
        <c:ser>
          <c:idx val="5"/>
          <c:order val="5"/>
          <c:tx>
            <c:v>P2max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tandem!$G$14</c:f>
              <c:numCache>
                <c:formatCode>0.0000</c:formatCode>
                <c:ptCount val="1"/>
                <c:pt idx="0">
                  <c:v>0.63186710196871188</c:v>
                </c:pt>
              </c:numCache>
            </c:numRef>
          </c:xVal>
          <c:yVal>
            <c:numRef>
              <c:f>tandem!$G$15</c:f>
              <c:numCache>
                <c:formatCode>0.0000</c:formatCode>
                <c:ptCount val="1"/>
                <c:pt idx="0">
                  <c:v>0.96062435944030355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01-CC45-801D-E0855B4C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919087"/>
        <c:axId val="1308920815"/>
      </c:scatterChart>
      <c:valAx>
        <c:axId val="130891908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aseline="0"/>
                  <a:t>V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920815"/>
        <c:crosses val="autoZero"/>
        <c:crossBetween val="midCat"/>
      </c:valAx>
      <c:valAx>
        <c:axId val="1308920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aseline="0"/>
                  <a:t>I (mA)</a:t>
                </a:r>
              </a:p>
              <a:p>
                <a:pPr>
                  <a:defRPr sz="1400"/>
                </a:pPr>
                <a:endParaRPr lang="en-US" sz="1400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9190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L$12" lockText="1" noThreeD="1"/>
</file>

<file path=xl/ctrlProps/ctrlProp3.xml><?xml version="1.0" encoding="utf-8"?>
<formControlPr xmlns="http://schemas.microsoft.com/office/spreadsheetml/2009/9/main" objectType="CheckBox" checked="Checked" fmlaLink="$J$12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520700</xdr:colOff>
      <xdr:row>26</xdr:row>
      <xdr:rowOff>152400</xdr:rowOff>
    </xdr:from>
    <xdr:to>
      <xdr:col>6</xdr:col>
      <xdr:colOff>368300</xdr:colOff>
      <xdr:row>41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83129</xdr:colOff>
          <xdr:row>10</xdr:row>
          <xdr:rowOff>124690</xdr:rowOff>
        </xdr:from>
        <xdr:to>
          <xdr:col>12</xdr:col>
          <xdr:colOff>856674</xdr:colOff>
          <xdr:row>12</xdr:row>
          <xdr:rowOff>99290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1011382</xdr:colOff>
          <xdr:row>10</xdr:row>
          <xdr:rowOff>105064</xdr:rowOff>
        </xdr:from>
        <xdr:to>
          <xdr:col>14</xdr:col>
          <xdr:colOff>512618</xdr:colOff>
          <xdr:row>12</xdr:row>
          <xdr:rowOff>79664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1005609</xdr:colOff>
          <xdr:row>7</xdr:row>
          <xdr:rowOff>101600</xdr:rowOff>
        </xdr:from>
        <xdr:to>
          <xdr:col>14</xdr:col>
          <xdr:colOff>498764</xdr:colOff>
          <xdr:row>9</xdr:row>
          <xdr:rowOff>76200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28F46777-16E8-0E0A-EC4D-A82A7C8793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74093-DF6B-F344-A215-BF7E4431A2FB}">
  <sheetPr codeName="Sheet1"/>
  <dimension ref="A1:AP112"/>
  <sheetViews>
    <sheetView tabSelected="1" zoomScale="110" zoomScaleNormal="110" workbookViewId="0">
      <selection activeCell="F23" sqref="F23"/>
    </sheetView>
  </sheetViews>
  <sheetFormatPr baseColWidth="10" defaultRowHeight="16" x14ac:dyDescent="0.2"/>
  <cols>
    <col min="3" max="3" width="16" customWidth="1"/>
    <col min="4" max="4" width="24.5" customWidth="1"/>
    <col min="8" max="8" width="3.6640625" customWidth="1"/>
    <col min="11" max="11" width="1.83203125" customWidth="1"/>
    <col min="13" max="13" width="13.5" customWidth="1"/>
    <col min="14" max="14" width="13.1640625" customWidth="1"/>
  </cols>
  <sheetData>
    <row r="1" spans="1:42" ht="17" thickBot="1" x14ac:dyDescent="0.25"/>
    <row r="2" spans="1:42" x14ac:dyDescent="0.2">
      <c r="I2" s="8" t="s">
        <v>49</v>
      </c>
      <c r="J2" s="9"/>
      <c r="K2" s="9"/>
      <c r="L2" s="9"/>
      <c r="M2" s="17"/>
      <c r="N2" s="18"/>
    </row>
    <row r="3" spans="1:42" x14ac:dyDescent="0.2">
      <c r="B3" t="s">
        <v>0</v>
      </c>
      <c r="C3" s="30">
        <v>2</v>
      </c>
      <c r="D3" t="s">
        <v>56</v>
      </c>
      <c r="I3" s="10" t="s">
        <v>0</v>
      </c>
      <c r="J3" s="15">
        <v>2</v>
      </c>
      <c r="L3" t="s">
        <v>56</v>
      </c>
      <c r="N3" s="11"/>
    </row>
    <row r="4" spans="1:42" x14ac:dyDescent="0.2">
      <c r="B4" t="s">
        <v>1</v>
      </c>
      <c r="C4" s="21">
        <v>2.5899999999999999E-2</v>
      </c>
      <c r="D4" t="s">
        <v>57</v>
      </c>
      <c r="I4" s="10" t="s">
        <v>1</v>
      </c>
      <c r="J4" s="24">
        <v>2.5899999999999999E-2</v>
      </c>
      <c r="L4" t="s">
        <v>57</v>
      </c>
      <c r="N4" s="11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</row>
    <row r="5" spans="1:42" x14ac:dyDescent="0.2">
      <c r="B5" t="s">
        <v>12</v>
      </c>
      <c r="C5" s="28">
        <f>f_calc</f>
        <v>0.50000000002474998</v>
      </c>
      <c r="D5" t="s">
        <v>63</v>
      </c>
      <c r="I5" s="10" t="s">
        <v>9</v>
      </c>
      <c r="J5" s="25">
        <v>1</v>
      </c>
      <c r="L5" t="s">
        <v>58</v>
      </c>
      <c r="N5" s="1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</row>
    <row r="6" spans="1:42" x14ac:dyDescent="0.2">
      <c r="I6" s="10" t="s">
        <v>6</v>
      </c>
      <c r="J6" s="26">
        <v>1E-10</v>
      </c>
      <c r="L6" t="s">
        <v>59</v>
      </c>
      <c r="N6" s="11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</row>
    <row r="7" spans="1:42" x14ac:dyDescent="0.2">
      <c r="A7" t="s">
        <v>68</v>
      </c>
      <c r="E7" t="s">
        <v>69</v>
      </c>
      <c r="I7" s="10" t="s">
        <v>10</v>
      </c>
      <c r="J7" s="25">
        <v>1</v>
      </c>
      <c r="L7" t="s">
        <v>60</v>
      </c>
      <c r="N7" s="11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</row>
    <row r="8" spans="1:42" x14ac:dyDescent="0.2">
      <c r="A8" t="s">
        <v>27</v>
      </c>
      <c r="B8" t="s">
        <v>9</v>
      </c>
      <c r="C8" s="22">
        <v>1</v>
      </c>
      <c r="D8" t="s">
        <v>64</v>
      </c>
      <c r="E8" t="s">
        <v>67</v>
      </c>
      <c r="F8" t="s">
        <v>28</v>
      </c>
      <c r="G8" s="2">
        <f>C8*C4*LN((C10-G9)/C9+1)</f>
        <v>0.51753855423556971</v>
      </c>
      <c r="I8" s="10" t="s">
        <v>7</v>
      </c>
      <c r="J8" s="26">
        <v>9.9999999999999998E-13</v>
      </c>
      <c r="L8" t="s">
        <v>61</v>
      </c>
      <c r="N8" s="19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</row>
    <row r="9" spans="1:42" x14ac:dyDescent="0.2">
      <c r="B9" t="s">
        <v>6</v>
      </c>
      <c r="C9" s="16">
        <v>1E-10</v>
      </c>
      <c r="D9" t="s">
        <v>65</v>
      </c>
      <c r="F9" t="s">
        <v>29</v>
      </c>
      <c r="G9" s="2">
        <v>0.9523402174468053</v>
      </c>
      <c r="I9" s="10" t="s">
        <v>12</v>
      </c>
      <c r="J9" s="27">
        <v>0.5</v>
      </c>
      <c r="L9" t="s">
        <v>63</v>
      </c>
      <c r="N9" s="19"/>
      <c r="O9" s="14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</row>
    <row r="10" spans="1:42" ht="17" thickBot="1" x14ac:dyDescent="0.25">
      <c r="B10" t="s">
        <v>2</v>
      </c>
      <c r="C10" s="30">
        <f>(1-C5)*C3</f>
        <v>0.99999999995050004</v>
      </c>
      <c r="D10" t="s">
        <v>70</v>
      </c>
      <c r="F10" t="s">
        <v>30</v>
      </c>
      <c r="G10" s="2">
        <f>G8*G9</f>
        <v>0.4928727792778077</v>
      </c>
      <c r="I10" s="12"/>
      <c r="J10" s="13"/>
      <c r="K10" s="13"/>
      <c r="L10" s="13"/>
      <c r="M10" s="13"/>
      <c r="N10" s="20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</row>
    <row r="11" spans="1:42" x14ac:dyDescent="0.2">
      <c r="B11" t="s">
        <v>4</v>
      </c>
      <c r="C11" s="2">
        <f>C8*C4*LN((C10-C22)/C9+1)</f>
        <v>0.51495339282902874</v>
      </c>
      <c r="D11" t="s">
        <v>71</v>
      </c>
      <c r="F11" t="s">
        <v>37</v>
      </c>
      <c r="G11" s="2">
        <f>C8*C4*LN((C10-0)/C9+1)</f>
        <v>0.59636953908676571</v>
      </c>
      <c r="O11" s="14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</row>
    <row r="12" spans="1:42" x14ac:dyDescent="0.2">
      <c r="B12" t="s">
        <v>47</v>
      </c>
      <c r="C12" s="2">
        <f>C11*C22</f>
        <v>0.49274221105481913</v>
      </c>
      <c r="D12" t="s">
        <v>72</v>
      </c>
      <c r="F12" t="s">
        <v>38</v>
      </c>
      <c r="G12" s="2">
        <f>C10</f>
        <v>0.99999999995050004</v>
      </c>
      <c r="J12" s="14" t="b">
        <v>1</v>
      </c>
      <c r="L12" t="b">
        <v>0</v>
      </c>
      <c r="N12" s="14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</row>
    <row r="13" spans="1:42" x14ac:dyDescent="0.2">
      <c r="C13" s="1"/>
      <c r="N13" s="14"/>
      <c r="O13" s="14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</row>
    <row r="14" spans="1:42" x14ac:dyDescent="0.2">
      <c r="A14" t="s">
        <v>33</v>
      </c>
      <c r="B14" t="s">
        <v>10</v>
      </c>
      <c r="C14" s="22">
        <v>1</v>
      </c>
      <c r="D14" t="s">
        <v>64</v>
      </c>
      <c r="E14" t="s">
        <v>66</v>
      </c>
      <c r="F14" t="s">
        <v>32</v>
      </c>
      <c r="G14" s="2">
        <f>C14*C4*LN((C16-G15)/C15+1)</f>
        <v>0.63186710196871188</v>
      </c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</row>
    <row r="15" spans="1:42" x14ac:dyDescent="0.2">
      <c r="B15" t="s">
        <v>7</v>
      </c>
      <c r="C15" s="23">
        <v>9.9999999999999998E-13</v>
      </c>
      <c r="D15" t="s">
        <v>65</v>
      </c>
      <c r="F15" t="s">
        <v>34</v>
      </c>
      <c r="G15" s="2">
        <v>0.96062435944030355</v>
      </c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</row>
    <row r="16" spans="1:42" x14ac:dyDescent="0.2">
      <c r="B16" t="s">
        <v>3</v>
      </c>
      <c r="C16" s="30">
        <f>C5*C3</f>
        <v>1.0000000000495</v>
      </c>
      <c r="D16" t="s">
        <v>70</v>
      </c>
      <c r="F16" t="s">
        <v>35</v>
      </c>
      <c r="G16" s="2">
        <f>G14*G15</f>
        <v>0.60698693008009486</v>
      </c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</row>
    <row r="17" spans="2:42" x14ac:dyDescent="0.2">
      <c r="B17" t="s">
        <v>5</v>
      </c>
      <c r="C17" s="2">
        <f>C14*C4*LN((C16-C22)/C15+1)</f>
        <v>0.63422730064612021</v>
      </c>
      <c r="D17" t="s">
        <v>71</v>
      </c>
      <c r="F17" t="s">
        <v>39</v>
      </c>
      <c r="G17" s="2">
        <f>C14*C4*LN((C16-0)/C15+1)</f>
        <v>0.71564344690385739</v>
      </c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</row>
    <row r="18" spans="2:42" x14ac:dyDescent="0.2">
      <c r="B18" t="s">
        <v>48</v>
      </c>
      <c r="C18" s="2">
        <f>C17*C22</f>
        <v>0.60687154756829886</v>
      </c>
      <c r="D18" t="s">
        <v>72</v>
      </c>
      <c r="F18" t="s">
        <v>40</v>
      </c>
      <c r="G18" s="2">
        <f>C16</f>
        <v>1.0000000000495</v>
      </c>
    </row>
    <row r="19" spans="2:42" x14ac:dyDescent="0.2"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</row>
    <row r="20" spans="2:42" x14ac:dyDescent="0.2">
      <c r="B20" t="s">
        <v>62</v>
      </c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</row>
    <row r="21" spans="2:42" x14ac:dyDescent="0.2">
      <c r="B21" t="s">
        <v>25</v>
      </c>
      <c r="C21" s="2">
        <f>C11+C17</f>
        <v>1.149180693475149</v>
      </c>
      <c r="D21" t="s">
        <v>71</v>
      </c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</row>
    <row r="22" spans="2:42" x14ac:dyDescent="0.2">
      <c r="B22" t="s">
        <v>26</v>
      </c>
      <c r="C22" s="2">
        <v>0.95686758824485696</v>
      </c>
      <c r="D22" t="s">
        <v>75</v>
      </c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</row>
    <row r="23" spans="2:42" x14ac:dyDescent="0.2">
      <c r="B23" t="s">
        <v>31</v>
      </c>
      <c r="C23" s="29">
        <f>C22*C21</f>
        <v>1.0996137586231181</v>
      </c>
      <c r="D23" t="s">
        <v>72</v>
      </c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</row>
    <row r="24" spans="2:42" x14ac:dyDescent="0.2"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</row>
    <row r="25" spans="2:42" ht="19" x14ac:dyDescent="0.25">
      <c r="B25" t="s">
        <v>20</v>
      </c>
      <c r="C25" s="2">
        <f>C8*C4*LN((C10-0)/C9+1)+C14*C4*LN((C16-0)/C15+1)</f>
        <v>1.3120129859906231</v>
      </c>
      <c r="D25" t="s">
        <v>73</v>
      </c>
      <c r="E25" s="6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</row>
    <row r="26" spans="2:42" x14ac:dyDescent="0.2">
      <c r="B26" t="s">
        <v>18</v>
      </c>
      <c r="C26" s="2">
        <f>F28</f>
        <v>0.99933665888030565</v>
      </c>
      <c r="D26" t="s">
        <v>74</v>
      </c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</row>
    <row r="27" spans="2:42" x14ac:dyDescent="0.2">
      <c r="B27" s="1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</row>
    <row r="28" spans="2:42" x14ac:dyDescent="0.2">
      <c r="E28" t="s">
        <v>21</v>
      </c>
      <c r="F28" s="2">
        <f>Ip_1_mA-I0_1_mA*(EXP(u/n_1)-1)</f>
        <v>0.99933665888030565</v>
      </c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</row>
    <row r="29" spans="2:42" x14ac:dyDescent="0.2">
      <c r="E29" t="s">
        <v>22</v>
      </c>
      <c r="F29" s="2">
        <f>Ip_2_mA-I0_2_mA*(EXP(-u/n_2)-1)</f>
        <v>1.0000000000505</v>
      </c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</row>
    <row r="30" spans="2:42" x14ac:dyDescent="0.2">
      <c r="D30" t="s">
        <v>24</v>
      </c>
      <c r="E30" t="s">
        <v>19</v>
      </c>
      <c r="F30" s="2">
        <v>15.707629815320175</v>
      </c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</row>
    <row r="31" spans="2:42" x14ac:dyDescent="0.2">
      <c r="E31" t="s">
        <v>23</v>
      </c>
      <c r="F31" s="2">
        <f>tandem!F28-tandem!F29</f>
        <v>-6.6334117019439809E-4</v>
      </c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</row>
    <row r="32" spans="2:42" x14ac:dyDescent="0.2"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</row>
    <row r="33" spans="2:42" x14ac:dyDescent="0.2"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</row>
    <row r="34" spans="2:42" x14ac:dyDescent="0.2"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</row>
    <row r="35" spans="2:42" x14ac:dyDescent="0.2"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</row>
    <row r="36" spans="2:42" x14ac:dyDescent="0.2">
      <c r="C36" s="7"/>
      <c r="H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</row>
    <row r="37" spans="2:42" x14ac:dyDescent="0.2">
      <c r="C37" s="4"/>
      <c r="H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</row>
    <row r="38" spans="2:42" x14ac:dyDescent="0.2">
      <c r="H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</row>
    <row r="39" spans="2:42" x14ac:dyDescent="0.2">
      <c r="C39" s="7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</row>
    <row r="40" spans="2:42" x14ac:dyDescent="0.2">
      <c r="C40" s="4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</row>
    <row r="41" spans="2:42" x14ac:dyDescent="0.2"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</row>
    <row r="42" spans="2:42" x14ac:dyDescent="0.2">
      <c r="C42" s="3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</row>
    <row r="43" spans="2:42" x14ac:dyDescent="0.2"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</row>
    <row r="44" spans="2:42" x14ac:dyDescent="0.2">
      <c r="B44" t="s">
        <v>11</v>
      </c>
      <c r="C44">
        <f>tandem!C8+tandem!C14</f>
        <v>2</v>
      </c>
      <c r="E44" t="s">
        <v>50</v>
      </c>
      <c r="F44" s="1">
        <f>C55+C57+C58</f>
        <v>1.0000000000495</v>
      </c>
      <c r="H44" s="1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</row>
    <row r="45" spans="2:42" x14ac:dyDescent="0.2">
      <c r="B45" t="s">
        <v>54</v>
      </c>
      <c r="C45">
        <f>tandem!C8/C44</f>
        <v>0.5</v>
      </c>
      <c r="E45" t="s">
        <v>51</v>
      </c>
      <c r="F45" s="1">
        <f>C48+C50+C51</f>
        <v>0.99999999995050004</v>
      </c>
      <c r="H45" s="1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</row>
    <row r="46" spans="2:42" x14ac:dyDescent="0.2">
      <c r="B46" t="s">
        <v>55</v>
      </c>
      <c r="C46">
        <f>tandem!C14/C44</f>
        <v>0.5</v>
      </c>
      <c r="E46" t="s">
        <v>52</v>
      </c>
      <c r="F46" s="3">
        <f>B56</f>
        <v>0</v>
      </c>
      <c r="H46" s="1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</row>
    <row r="47" spans="2:42" x14ac:dyDescent="0.2">
      <c r="E47" t="s">
        <v>53</v>
      </c>
      <c r="H47" s="1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</row>
    <row r="48" spans="2:42" x14ac:dyDescent="0.2">
      <c r="B48">
        <f>1-B55</f>
        <v>0.5</v>
      </c>
      <c r="C48">
        <f>B48*tandem!C3</f>
        <v>1</v>
      </c>
      <c r="H48" s="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</row>
    <row r="49" spans="2:39" x14ac:dyDescent="0.2">
      <c r="B49">
        <f t="shared" ref="B49:C51" si="0">-B56</f>
        <v>0</v>
      </c>
      <c r="C49" s="3">
        <f t="shared" si="0"/>
        <v>0</v>
      </c>
      <c r="H49" s="1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</row>
    <row r="50" spans="2:39" x14ac:dyDescent="0.2">
      <c r="B50">
        <f t="shared" si="0"/>
        <v>-0.5</v>
      </c>
      <c r="C50" s="1">
        <f t="shared" si="0"/>
        <v>-5.0000000000000002E-11</v>
      </c>
      <c r="H50" s="1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</row>
    <row r="51" spans="2:39" x14ac:dyDescent="0.2">
      <c r="B51">
        <f t="shared" si="0"/>
        <v>0.5</v>
      </c>
      <c r="C51" s="1">
        <f t="shared" si="0"/>
        <v>4.9999999999999999E-13</v>
      </c>
      <c r="H51" s="1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</row>
    <row r="52" spans="2:39" x14ac:dyDescent="0.2">
      <c r="B52" t="s">
        <v>14</v>
      </c>
      <c r="C52">
        <f>SUM(C48:C51)</f>
        <v>0.99999999995050004</v>
      </c>
      <c r="H52" s="1"/>
    </row>
    <row r="53" spans="2:39" x14ac:dyDescent="0.2">
      <c r="B53" s="1" t="s">
        <v>13</v>
      </c>
      <c r="C53" s="4">
        <f>1-C60</f>
        <v>0.49999999997525002</v>
      </c>
      <c r="H53" s="1"/>
    </row>
    <row r="54" spans="2:39" x14ac:dyDescent="0.2">
      <c r="H54" s="1"/>
    </row>
    <row r="55" spans="2:39" x14ac:dyDescent="0.2">
      <c r="B55">
        <f>C46</f>
        <v>0.5</v>
      </c>
      <c r="C55">
        <f>B55*Ip_mA</f>
        <v>1</v>
      </c>
      <c r="H55" s="1"/>
    </row>
    <row r="56" spans="2:39" x14ac:dyDescent="0.2">
      <c r="B56">
        <f>C46-C45</f>
        <v>0</v>
      </c>
      <c r="C56" s="3">
        <f>B56*Im_mA</f>
        <v>0</v>
      </c>
      <c r="H56" s="1"/>
    </row>
    <row r="57" spans="2:39" x14ac:dyDescent="0.2">
      <c r="B57">
        <f>C46</f>
        <v>0.5</v>
      </c>
      <c r="C57" s="1">
        <f>B57*I0_1_mA</f>
        <v>5.0000000000000002E-11</v>
      </c>
      <c r="H57" s="1"/>
    </row>
    <row r="58" spans="2:39" x14ac:dyDescent="0.2">
      <c r="B58">
        <f>-C45</f>
        <v>-0.5</v>
      </c>
      <c r="C58" s="1">
        <f>B58*I0_2_mA</f>
        <v>-4.9999999999999999E-13</v>
      </c>
      <c r="H58" s="1"/>
    </row>
    <row r="59" spans="2:39" x14ac:dyDescent="0.2">
      <c r="B59" t="s">
        <v>15</v>
      </c>
      <c r="C59">
        <f>SUM(C55:C58)</f>
        <v>1.0000000000495</v>
      </c>
      <c r="H59" s="1"/>
    </row>
    <row r="60" spans="2:39" x14ac:dyDescent="0.2">
      <c r="B60" s="1" t="s">
        <v>12</v>
      </c>
      <c r="C60" s="4">
        <f>C59/Ip_mA</f>
        <v>0.50000000002474998</v>
      </c>
      <c r="H60" s="1"/>
    </row>
    <row r="61" spans="2:39" x14ac:dyDescent="0.2">
      <c r="H61" s="1"/>
    </row>
    <row r="62" spans="2:39" x14ac:dyDescent="0.2">
      <c r="H62" s="1"/>
    </row>
    <row r="63" spans="2:39" x14ac:dyDescent="0.2">
      <c r="H63" s="1"/>
    </row>
    <row r="64" spans="2:39" x14ac:dyDescent="0.2">
      <c r="H64" s="1"/>
    </row>
    <row r="65" spans="8:8" x14ac:dyDescent="0.2">
      <c r="H65" s="1"/>
    </row>
    <row r="66" spans="8:8" x14ac:dyDescent="0.2">
      <c r="H66" s="1"/>
    </row>
    <row r="67" spans="8:8" x14ac:dyDescent="0.2">
      <c r="H67" s="1"/>
    </row>
    <row r="68" spans="8:8" x14ac:dyDescent="0.2">
      <c r="H68" s="1"/>
    </row>
    <row r="69" spans="8:8" x14ac:dyDescent="0.2">
      <c r="H69" s="1"/>
    </row>
    <row r="70" spans="8:8" x14ac:dyDescent="0.2">
      <c r="H70" s="1"/>
    </row>
    <row r="71" spans="8:8" x14ac:dyDescent="0.2">
      <c r="H71" s="1"/>
    </row>
    <row r="72" spans="8:8" x14ac:dyDescent="0.2">
      <c r="H72" s="1"/>
    </row>
    <row r="73" spans="8:8" x14ac:dyDescent="0.2">
      <c r="H73" s="1"/>
    </row>
    <row r="74" spans="8:8" x14ac:dyDescent="0.2">
      <c r="H74" s="1"/>
    </row>
    <row r="75" spans="8:8" x14ac:dyDescent="0.2">
      <c r="H75" s="1"/>
    </row>
    <row r="76" spans="8:8" x14ac:dyDescent="0.2">
      <c r="H76" s="1"/>
    </row>
    <row r="77" spans="8:8" x14ac:dyDescent="0.2">
      <c r="H77" s="1"/>
    </row>
    <row r="78" spans="8:8" x14ac:dyDescent="0.2">
      <c r="H78" s="1"/>
    </row>
    <row r="79" spans="8:8" x14ac:dyDescent="0.2">
      <c r="H79" s="1"/>
    </row>
    <row r="80" spans="8:8" x14ac:dyDescent="0.2">
      <c r="H80" s="1"/>
    </row>
    <row r="81" spans="8:8" x14ac:dyDescent="0.2">
      <c r="H81" s="1"/>
    </row>
    <row r="82" spans="8:8" x14ac:dyDescent="0.2">
      <c r="H82" s="1"/>
    </row>
    <row r="83" spans="8:8" x14ac:dyDescent="0.2">
      <c r="H83" s="1"/>
    </row>
    <row r="84" spans="8:8" x14ac:dyDescent="0.2">
      <c r="H84" s="1"/>
    </row>
    <row r="85" spans="8:8" x14ac:dyDescent="0.2">
      <c r="H85" s="1"/>
    </row>
    <row r="86" spans="8:8" x14ac:dyDescent="0.2">
      <c r="H86" s="1"/>
    </row>
    <row r="87" spans="8:8" x14ac:dyDescent="0.2">
      <c r="H87" s="1"/>
    </row>
    <row r="88" spans="8:8" x14ac:dyDescent="0.2">
      <c r="H88" s="1"/>
    </row>
    <row r="89" spans="8:8" x14ac:dyDescent="0.2">
      <c r="H89" s="1"/>
    </row>
    <row r="90" spans="8:8" x14ac:dyDescent="0.2">
      <c r="H90" s="1"/>
    </row>
    <row r="91" spans="8:8" x14ac:dyDescent="0.2">
      <c r="H91" s="1"/>
    </row>
    <row r="92" spans="8:8" x14ac:dyDescent="0.2">
      <c r="H92" s="1"/>
    </row>
    <row r="93" spans="8:8" x14ac:dyDescent="0.2">
      <c r="H93" s="1"/>
    </row>
    <row r="94" spans="8:8" x14ac:dyDescent="0.2">
      <c r="H94" s="1"/>
    </row>
    <row r="95" spans="8:8" x14ac:dyDescent="0.2">
      <c r="H95" s="1"/>
    </row>
    <row r="96" spans="8:8" x14ac:dyDescent="0.2">
      <c r="H96" s="1"/>
    </row>
    <row r="97" spans="8:8" x14ac:dyDescent="0.2">
      <c r="H97" s="1"/>
    </row>
    <row r="98" spans="8:8" x14ac:dyDescent="0.2">
      <c r="H98" s="1"/>
    </row>
    <row r="99" spans="8:8" x14ac:dyDescent="0.2">
      <c r="H99" s="1"/>
    </row>
    <row r="100" spans="8:8" x14ac:dyDescent="0.2">
      <c r="H100" s="1"/>
    </row>
    <row r="101" spans="8:8" x14ac:dyDescent="0.2">
      <c r="H101" s="1"/>
    </row>
    <row r="102" spans="8:8" x14ac:dyDescent="0.2">
      <c r="H102" s="1"/>
    </row>
    <row r="103" spans="8:8" x14ac:dyDescent="0.2">
      <c r="H103" s="1"/>
    </row>
    <row r="104" spans="8:8" x14ac:dyDescent="0.2">
      <c r="H104" s="1"/>
    </row>
    <row r="105" spans="8:8" x14ac:dyDescent="0.2">
      <c r="H105" s="1"/>
    </row>
    <row r="106" spans="8:8" x14ac:dyDescent="0.2">
      <c r="H106" s="1"/>
    </row>
    <row r="107" spans="8:8" x14ac:dyDescent="0.2">
      <c r="H107" s="1"/>
    </row>
    <row r="108" spans="8:8" x14ac:dyDescent="0.2">
      <c r="H108" s="1"/>
    </row>
    <row r="109" spans="8:8" x14ac:dyDescent="0.2">
      <c r="H109" s="1"/>
    </row>
    <row r="110" spans="8:8" x14ac:dyDescent="0.2">
      <c r="H110" s="1"/>
    </row>
    <row r="111" spans="8:8" x14ac:dyDescent="0.2">
      <c r="H111" s="1"/>
    </row>
    <row r="112" spans="8:8" x14ac:dyDescent="0.2">
      <c r="H112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ThisWorkbook.SolveAll">
                <anchor moveWithCells="1" sizeWithCells="1">
                  <from>
                    <xdr:col>9</xdr:col>
                    <xdr:colOff>88900</xdr:colOff>
                    <xdr:row>10</xdr:row>
                    <xdr:rowOff>127000</xdr:rowOff>
                  </from>
                  <to>
                    <xdr:col>12</xdr:col>
                    <xdr:colOff>850900</xdr:colOff>
                    <xdr:row>12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Check Box 6">
              <controlPr defaultSize="0" autoFill="0" autoLine="0" autoPict="0">
                <anchor moveWithCells="1">
                  <from>
                    <xdr:col>12</xdr:col>
                    <xdr:colOff>1016000</xdr:colOff>
                    <xdr:row>10</xdr:row>
                    <xdr:rowOff>101600</xdr:rowOff>
                  </from>
                  <to>
                    <xdr:col>14</xdr:col>
                    <xdr:colOff>508000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 Box 9">
              <controlPr defaultSize="0" autoFill="0" autoLine="0" autoPict="0" macro="[0]!ThisWorkbook.Set_f">
                <anchor moveWithCells="1">
                  <from>
                    <xdr:col>12</xdr:col>
                    <xdr:colOff>1003300</xdr:colOff>
                    <xdr:row>7</xdr:row>
                    <xdr:rowOff>101600</xdr:rowOff>
                  </from>
                  <to>
                    <xdr:col>14</xdr:col>
                    <xdr:colOff>495300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9F263-E8BD-2B4E-A975-4625FC0D5055}">
  <sheetPr codeName="Sheet2"/>
  <dimension ref="A2:M111"/>
  <sheetViews>
    <sheetView workbookViewId="0">
      <selection activeCell="M27" sqref="M27"/>
    </sheetView>
  </sheetViews>
  <sheetFormatPr baseColWidth="10" defaultRowHeight="16" x14ac:dyDescent="0.2"/>
  <cols>
    <col min="1" max="1" width="12.1640625" bestFit="1" customWidth="1"/>
    <col min="6" max="6" width="10.1640625" customWidth="1"/>
  </cols>
  <sheetData>
    <row r="2" spans="1:10" x14ac:dyDescent="0.2">
      <c r="C2" t="s">
        <v>8</v>
      </c>
      <c r="D2" t="s">
        <v>4</v>
      </c>
      <c r="E2" t="s">
        <v>17</v>
      </c>
      <c r="F2" t="s">
        <v>16</v>
      </c>
      <c r="G2" t="s">
        <v>42</v>
      </c>
      <c r="H2" t="s">
        <v>43</v>
      </c>
      <c r="I2" s="2" t="s">
        <v>36</v>
      </c>
      <c r="J2" t="s">
        <v>41</v>
      </c>
    </row>
    <row r="3" spans="1:10" x14ac:dyDescent="0.2">
      <c r="A3">
        <v>0</v>
      </c>
      <c r="B3">
        <f t="shared" ref="B3:B34" si="0">1-(EXP(A3)-1)/(EXP(1)-1)</f>
        <v>1</v>
      </c>
      <c r="C3" s="2">
        <f>B3*M$27</f>
        <v>0.99933665888030565</v>
      </c>
      <c r="D3" s="2">
        <f>tandem!C$8*tandem!C$4*LN((M$28-C3)/tandem!C$9+1)</f>
        <v>0.40682761221679381</v>
      </c>
      <c r="E3" s="2">
        <f>tandem!C$14*tandem!C$4*LN((M$29-C3)/tandem!C$15+1)</f>
        <v>0.52610152003388222</v>
      </c>
      <c r="F3" s="2">
        <v>0</v>
      </c>
      <c r="G3" s="2">
        <f>A3*calc!M$30</f>
        <v>0</v>
      </c>
      <c r="H3" s="2">
        <f>A3*calc!M$31</f>
        <v>0</v>
      </c>
      <c r="I3" s="2">
        <f>tandem!C$10-tandem!C$9*(EXP(G3/tandem!C$8/tandem!C$4)-1)</f>
        <v>0.99999999995050004</v>
      </c>
      <c r="J3" s="2">
        <f>tandem!C$16-tandem!C$15*(EXP(H3/tandem!C$14/tandem!C$4)-1)</f>
        <v>1.0000000000495</v>
      </c>
    </row>
    <row r="4" spans="1:10" x14ac:dyDescent="0.2">
      <c r="A4">
        <v>0.02</v>
      </c>
      <c r="B4">
        <f t="shared" si="0"/>
        <v>0.98824329065688121</v>
      </c>
      <c r="C4" s="2">
        <f t="shared" ref="C4:C53" si="1">B4*M$27</f>
        <v>0.98758774824592643</v>
      </c>
      <c r="D4" s="2">
        <f>tandem!C$8*tandem!C$4*LN((M$28-C4)/tandem!C$9+1)</f>
        <v>0.48269259382923269</v>
      </c>
      <c r="E4" s="2">
        <f>tandem!C$14*tandem!C$4*LN((M$29-C4)/tandem!C$15+1)</f>
        <v>0.60196650164632415</v>
      </c>
      <c r="F4" s="2">
        <f t="shared" ref="F4:F35" si="2">D4+E4</f>
        <v>1.0846590954755568</v>
      </c>
      <c r="G4" s="2">
        <f>A4*calc!M$30</f>
        <v>1.1927390781735315E-2</v>
      </c>
      <c r="H4" s="2">
        <f>A4*calc!M$31</f>
        <v>1.4312868938077148E-2</v>
      </c>
      <c r="I4" s="2">
        <f>tandem!C$10-tandem!C$9*(EXP(G4/tandem!C$8/tandem!C$4)-1)</f>
        <v>0.99999999989201072</v>
      </c>
      <c r="J4" s="2">
        <f>tandem!C$16-tandem!C$15*(EXP(H4/tandem!C$14/tandem!C$4)-1)</f>
        <v>1.0000000000487621</v>
      </c>
    </row>
    <row r="5" spans="1:10" x14ac:dyDescent="0.2">
      <c r="A5">
        <v>0.04</v>
      </c>
      <c r="B5">
        <f t="shared" si="0"/>
        <v>0.97624908003072619</v>
      </c>
      <c r="C5" s="2">
        <f t="shared" si="1"/>
        <v>0.97560149387287798</v>
      </c>
      <c r="D5" s="2">
        <f>tandem!C$8*tandem!C$4*LN((M$28-C5)/tandem!C$9+1)</f>
        <v>0.5001967947821071</v>
      </c>
      <c r="E5" s="2">
        <f>tandem!C$14*tandem!C$4*LN((M$29-C5)/tandem!C$15+1)</f>
        <v>0.61947070259919856</v>
      </c>
      <c r="F5" s="2">
        <f t="shared" si="2"/>
        <v>1.1196674973813057</v>
      </c>
      <c r="G5" s="2">
        <f>A5*calc!M$30</f>
        <v>2.385478156347063E-2</v>
      </c>
      <c r="H5" s="2">
        <f>A5*calc!M$31</f>
        <v>2.8625737876154297E-2</v>
      </c>
      <c r="I5" s="2">
        <f>tandem!C$10-tandem!C$9*(EXP(G5/tandem!C$8/tandem!C$4)-1)</f>
        <v>0.99999999979931142</v>
      </c>
      <c r="J5" s="2">
        <f>tandem!C$16-tandem!C$15*(EXP(H5/tandem!C$14/tandem!C$4)-1)</f>
        <v>1.00000000004748</v>
      </c>
    </row>
    <row r="6" spans="1:10" x14ac:dyDescent="0.2">
      <c r="A6">
        <v>0.06</v>
      </c>
      <c r="B6">
        <f t="shared" si="0"/>
        <v>0.96401257027735976</v>
      </c>
      <c r="C6" s="2">
        <f t="shared" si="1"/>
        <v>0.96337310109959251</v>
      </c>
      <c r="D6" s="2">
        <f>tandem!C$8*tandem!C$4*LN((M$28-C6)/tandem!C$9+1)</f>
        <v>0.51071895484490648</v>
      </c>
      <c r="E6" s="2">
        <f>tandem!C$14*tandem!C$4*LN((M$29-C6)/tandem!C$15+1)</f>
        <v>0.62999286266199805</v>
      </c>
      <c r="F6" s="2">
        <f t="shared" si="2"/>
        <v>1.1407118175069044</v>
      </c>
      <c r="G6" s="2">
        <f>A6*calc!M$30</f>
        <v>3.5782172345205941E-2</v>
      </c>
      <c r="H6" s="2">
        <f>A6*calc!M$31</f>
        <v>4.2938606814231443E-2</v>
      </c>
      <c r="I6" s="2">
        <f>tandem!C$10-tandem!C$9*(EXP(G6/tandem!C$8/tandem!C$4)-1)</f>
        <v>0.99999999965239283</v>
      </c>
      <c r="J6" s="2">
        <f>tandem!C$16-tandem!C$15*(EXP(H6/tandem!C$14/tandem!C$4)-1)</f>
        <v>1.0000000000452518</v>
      </c>
    </row>
    <row r="7" spans="1:10" x14ac:dyDescent="0.2">
      <c r="A7">
        <v>0.08</v>
      </c>
      <c r="B7">
        <f t="shared" si="0"/>
        <v>0.9515288666297248</v>
      </c>
      <c r="C7" s="2">
        <f t="shared" si="1"/>
        <v>0.9508976784059131</v>
      </c>
      <c r="D7" s="2">
        <f>tandem!C$8*tandem!C$4*LN((M$28-C7)/tandem!C$9+1)</f>
        <v>0.51831085098789897</v>
      </c>
      <c r="E7" s="2">
        <f>tandem!C$14*tandem!C$4*LN((M$29-C7)/tandem!C$15+1)</f>
        <v>0.63758475880499055</v>
      </c>
      <c r="F7" s="2">
        <f t="shared" si="2"/>
        <v>1.1558956097928896</v>
      </c>
      <c r="G7" s="2">
        <f>A7*calc!M$30</f>
        <v>4.770956312694126E-2</v>
      </c>
      <c r="H7" s="2">
        <f>A7*calc!M$31</f>
        <v>5.7251475752308593E-2</v>
      </c>
      <c r="I7" s="2">
        <f>tandem!C$10-tandem!C$9*(EXP(G7/tandem!C$8/tandem!C$4)-1)</f>
        <v>0.99999999941954265</v>
      </c>
      <c r="J7" s="2">
        <f>tandem!C$16-tandem!C$15*(EXP(H7/tandem!C$14/tandem!C$4)-1)</f>
        <v>1.0000000000413798</v>
      </c>
    </row>
    <row r="8" spans="1:10" x14ac:dyDescent="0.2">
      <c r="A8">
        <v>0.1</v>
      </c>
      <c r="B8">
        <f t="shared" si="0"/>
        <v>0.9387929754399108</v>
      </c>
      <c r="C8" s="2">
        <f t="shared" si="1"/>
        <v>0.93817023545642131</v>
      </c>
      <c r="D8" s="2">
        <f>tandem!C$8*tandem!C$4*LN((M$28-C8)/tandem!C$9+1)</f>
        <v>0.52428024565480258</v>
      </c>
      <c r="E8" s="2">
        <f>tandem!C$14*tandem!C$4*LN((M$29-C8)/tandem!C$15+1)</f>
        <v>0.64355415347189415</v>
      </c>
      <c r="F8" s="2">
        <f t="shared" si="2"/>
        <v>1.1678343991266966</v>
      </c>
      <c r="G8" s="2">
        <f>A8*calc!M$30</f>
        <v>5.9636953908676571E-2</v>
      </c>
      <c r="H8" s="2">
        <f>A8*calc!M$31</f>
        <v>7.1564344690385737E-2</v>
      </c>
      <c r="I8" s="2">
        <f>tandem!C$10-tandem!C$9*(EXP(G8/tandem!C$8/tandem!C$4)-1)</f>
        <v>0.99999999905050008</v>
      </c>
      <c r="J8" s="2">
        <f>tandem!C$16-tandem!C$15*(EXP(H8/tandem!C$14/tandem!C$4)-1)</f>
        <v>1.0000000000346509</v>
      </c>
    </row>
    <row r="9" spans="1:10" x14ac:dyDescent="0.2">
      <c r="A9">
        <v>0.12</v>
      </c>
      <c r="B9">
        <f t="shared" si="0"/>
        <v>0.92579980218162761</v>
      </c>
      <c r="C9" s="2">
        <f t="shared" si="1"/>
        <v>0.9251856811042356</v>
      </c>
      <c r="D9" s="2">
        <f>tandem!C$8*tandem!C$4*LN((M$28-C9)/tandem!C$9+1)</f>
        <v>0.52921741813717582</v>
      </c>
      <c r="E9" s="2">
        <f>tandem!C$14*tandem!C$4*LN((M$29-C9)/tandem!C$15+1)</f>
        <v>0.64849132595426739</v>
      </c>
      <c r="F9" s="2">
        <f t="shared" si="2"/>
        <v>1.1777087440914431</v>
      </c>
      <c r="G9" s="2">
        <f>A9*calc!M$30</f>
        <v>7.1564344690411882E-2</v>
      </c>
      <c r="H9" s="2">
        <f>A9*calc!M$31</f>
        <v>8.5877213628462887E-2</v>
      </c>
      <c r="I9" s="2">
        <f>tandem!C$10-tandem!C$9*(EXP(G9/tandem!C$8/tandem!C$4)-1)</f>
        <v>0.99999999846560683</v>
      </c>
      <c r="J9" s="2">
        <f>tandem!C$16-tandem!C$15*(EXP(H9/tandem!C$14/tandem!C$4)-1)</f>
        <v>1.0000000000229576</v>
      </c>
    </row>
    <row r="10" spans="1:10" x14ac:dyDescent="0.2">
      <c r="A10">
        <v>0.14000000000000001</v>
      </c>
      <c r="B10">
        <f t="shared" si="0"/>
        <v>0.91254414941232731</v>
      </c>
      <c r="C10" s="2">
        <f t="shared" si="1"/>
        <v>0.91193882135448556</v>
      </c>
      <c r="D10" s="2">
        <f>tandem!C$8*tandem!C$4*LN((M$28-C10)/tandem!C$9+1)</f>
        <v>0.53343970060128376</v>
      </c>
      <c r="E10" s="2">
        <f>tandem!C$14*tandem!C$4*LN((M$29-C10)/tandem!C$15+1)</f>
        <v>0.65271360841837534</v>
      </c>
      <c r="F10" s="2">
        <f t="shared" si="2"/>
        <v>1.1861533090196592</v>
      </c>
      <c r="G10" s="2">
        <f>A10*calc!M$30</f>
        <v>8.3491735472147208E-2</v>
      </c>
      <c r="H10" s="2">
        <f>A10*calc!M$31</f>
        <v>0.10019008256654005</v>
      </c>
      <c r="I10" s="2">
        <f>tandem!C$10-tandem!C$9*(EXP(G10/tandem!C$8/tandem!C$4)-1)</f>
        <v>0.99999999753861357</v>
      </c>
      <c r="J10" s="2">
        <f>tandem!C$16-tandem!C$15*(EXP(H10/tandem!C$14/tandem!C$4)-1)</f>
        <v>1.000000000002637</v>
      </c>
    </row>
    <row r="11" spans="1:10" x14ac:dyDescent="0.2">
      <c r="A11">
        <v>0.16</v>
      </c>
      <c r="B11">
        <f t="shared" si="0"/>
        <v>0.89902071469415767</v>
      </c>
      <c r="C11" s="2">
        <f t="shared" si="1"/>
        <v>0.89842435728664405</v>
      </c>
      <c r="D11" s="2">
        <f>tandem!C$8*tandem!C$4*LN((M$28-C11)/tandem!C$9+1)</f>
        <v>0.53713749499833341</v>
      </c>
      <c r="E11" s="2">
        <f>tandem!C$14*tandem!C$4*LN((M$29-C11)/tandem!C$15+1)</f>
        <v>0.65641140281542498</v>
      </c>
      <c r="F11" s="2">
        <f t="shared" si="2"/>
        <v>1.1935488978137583</v>
      </c>
      <c r="G11" s="2">
        <f>A11*calc!M$30</f>
        <v>9.5419126253882519E-2</v>
      </c>
      <c r="H11" s="2">
        <f>A11*calc!M$31</f>
        <v>0.11450295150461719</v>
      </c>
      <c r="I11" s="2">
        <f>tandem!C$10-tandem!C$9*(EXP(G11/tandem!C$8/tandem!C$4)-1)</f>
        <v>0.99999999606942835</v>
      </c>
      <c r="J11" s="2">
        <f>tandem!C$16-tandem!C$15*(EXP(H11/tandem!C$14/tandem!C$4)-1)</f>
        <v>0.99999999996732358</v>
      </c>
    </row>
    <row r="12" spans="1:10" x14ac:dyDescent="0.2">
      <c r="A12">
        <v>0.18</v>
      </c>
      <c r="B12">
        <f t="shared" si="0"/>
        <v>0.88522408847291678</v>
      </c>
      <c r="C12" s="2">
        <f t="shared" si="1"/>
        <v>0.88463688293488874</v>
      </c>
      <c r="D12" s="2">
        <f>tandem!C$8*tandem!C$4*LN((M$28-C12)/tandem!C$9+1)</f>
        <v>0.54043407093281415</v>
      </c>
      <c r="E12" s="2">
        <f>tandem!C$14*tandem!C$4*LN((M$29-C12)/tandem!C$15+1)</f>
        <v>0.65970797874990572</v>
      </c>
      <c r="F12" s="2">
        <f t="shared" si="2"/>
        <v>1.2001420496827198</v>
      </c>
      <c r="G12" s="2">
        <f>A12*calc!M$30</f>
        <v>0.10734651703561783</v>
      </c>
      <c r="H12" s="2">
        <f>A12*calc!M$31</f>
        <v>0.12881582044269432</v>
      </c>
      <c r="I12" s="2">
        <f>tandem!C$10-tandem!C$9*(EXP(G12/tandem!C$8/tandem!C$4)-1)</f>
        <v>0.99999999374092663</v>
      </c>
      <c r="J12" s="2">
        <f>tandem!C$16-tandem!C$15*(EXP(H12/tandem!C$14/tandem!C$4)-1)</f>
        <v>0.99999999990595601</v>
      </c>
    </row>
    <row r="13" spans="1:10" x14ac:dyDescent="0.2">
      <c r="A13">
        <v>0.2</v>
      </c>
      <c r="B13">
        <f t="shared" si="0"/>
        <v>0.87114875191415841</v>
      </c>
      <c r="C13" s="2">
        <f t="shared" si="1"/>
        <v>0.87057088312564335</v>
      </c>
      <c r="D13" s="2">
        <f>tandem!C$8*tandem!C$4*LN((M$28-C13)/tandem!C$9+1)</f>
        <v>0.54341383168503732</v>
      </c>
      <c r="E13" s="2">
        <f>tandem!C$14*tandem!C$4*LN((M$29-C13)/tandem!C$15+1)</f>
        <v>0.66268773950212889</v>
      </c>
      <c r="F13" s="2">
        <f t="shared" si="2"/>
        <v>1.2061015711871663</v>
      </c>
      <c r="G13" s="2">
        <f>A13*calc!M$30</f>
        <v>0.11927390781735314</v>
      </c>
      <c r="H13" s="2">
        <f>A13*calc!M$31</f>
        <v>0.14312868938077147</v>
      </c>
      <c r="I13" s="2">
        <f>tandem!C$10-tandem!C$9*(EXP(G13/tandem!C$8/tandem!C$4)-1)</f>
        <v>0.9999999900505</v>
      </c>
      <c r="J13" s="2">
        <f>tandem!C$16-tandem!C$15*(EXP(H13/tandem!C$14/tandem!C$4)-1)</f>
        <v>0.99999999979931131</v>
      </c>
    </row>
    <row r="14" spans="1:10" x14ac:dyDescent="0.2">
      <c r="A14">
        <v>0.22</v>
      </c>
      <c r="B14">
        <f t="shared" si="0"/>
        <v>0.85678907469558574</v>
      </c>
      <c r="C14" s="2">
        <f t="shared" si="1"/>
        <v>0.85622073127143528</v>
      </c>
      <c r="D14" s="2">
        <f>tandem!C$8*tandem!C$4*LN((M$28-C14)/tandem!C$9+1)</f>
        <v>0.54613711039713086</v>
      </c>
      <c r="E14" s="2">
        <f>tandem!C$14*tandem!C$4*LN((M$29-C14)/tandem!C$15+1)</f>
        <v>0.66541101821422244</v>
      </c>
      <c r="F14" s="2">
        <f t="shared" si="2"/>
        <v>1.2115481286113532</v>
      </c>
      <c r="G14" s="2">
        <f>A14*calc!M$30</f>
        <v>0.13120129859908847</v>
      </c>
      <c r="H14" s="2">
        <f>A14*calc!M$31</f>
        <v>0.15744155831884862</v>
      </c>
      <c r="I14" s="2">
        <f>tandem!C$10-tandem!C$9*(EXP(G14/tandem!C$8/tandem!C$4)-1)</f>
        <v>0.9999999842015681</v>
      </c>
      <c r="J14" s="2">
        <f>tandem!C$16-tandem!C$15*(EXP(H14/tandem!C$14/tandem!C$4)-1)</f>
        <v>0.99999999961398411</v>
      </c>
    </row>
    <row r="15" spans="1:10" x14ac:dyDescent="0.2">
      <c r="A15">
        <v>0.24</v>
      </c>
      <c r="B15">
        <f t="shared" si="0"/>
        <v>0.84213931275484599</v>
      </c>
      <c r="C15" s="2">
        <f t="shared" si="1"/>
        <v>0.84158068712018452</v>
      </c>
      <c r="D15" s="2">
        <f>tandem!C$8*tandem!C$4*LN((M$28-C15)/tandem!C$9+1)</f>
        <v>0.5486485331424622</v>
      </c>
      <c r="E15" s="2">
        <f>tandem!C$14*tandem!C$4*LN((M$29-C15)/tandem!C$15+1)</f>
        <v>0.66792244095955366</v>
      </c>
      <c r="F15" s="2">
        <f t="shared" si="2"/>
        <v>1.2165709741020159</v>
      </c>
      <c r="G15" s="2">
        <f>A15*calc!M$30</f>
        <v>0.14312868938082376</v>
      </c>
      <c r="H15" s="2">
        <f>A15*calc!M$31</f>
        <v>0.17175442725692577</v>
      </c>
      <c r="I15" s="2">
        <f>tandem!C$10-tandem!C$9*(EXP(G15/tandem!C$8/tandem!C$4)-1)</f>
        <v>0.99999997493163573</v>
      </c>
      <c r="J15" s="2">
        <f>tandem!C$16-tandem!C$15*(EXP(H15/tandem!C$14/tandem!C$4)-1)</f>
        <v>0.9999999992919224</v>
      </c>
    </row>
    <row r="16" spans="1:10" x14ac:dyDescent="0.2">
      <c r="A16">
        <v>0.26</v>
      </c>
      <c r="B16">
        <f t="shared" si="0"/>
        <v>0.82719360599183045</v>
      </c>
      <c r="C16" s="2">
        <f t="shared" si="1"/>
        <v>0.82664489445902778</v>
      </c>
      <c r="D16" s="2">
        <f>tandem!C$8*tandem!C$4*LN((M$28-C16)/tandem!C$9+1)</f>
        <v>0.55098203837662019</v>
      </c>
      <c r="E16" s="2">
        <f>tandem!C$14*tandem!C$4*LN((M$29-C16)/tandem!C$15+1)</f>
        <v>0.67025594619371176</v>
      </c>
      <c r="F16" s="2">
        <f t="shared" si="2"/>
        <v>1.2212379845703318</v>
      </c>
      <c r="G16" s="2">
        <f>A16*calc!M$30</f>
        <v>0.15505608016255909</v>
      </c>
      <c r="H16" s="2">
        <f>A16*calc!M$31</f>
        <v>0.18606729619500292</v>
      </c>
      <c r="I16" s="2">
        <f>tandem!C$10-tandem!C$9*(EXP(G16/tandem!C$8/tandem!C$4)-1)</f>
        <v>0.99999996023978299</v>
      </c>
      <c r="J16" s="2">
        <f>tandem!C$16-tandem!C$15*(EXP(H16/tandem!C$14/tandem!C$4)-1)</f>
        <v>0.99999999873224321</v>
      </c>
    </row>
    <row r="17" spans="1:13" x14ac:dyDescent="0.2">
      <c r="A17">
        <v>0.28000000000000003</v>
      </c>
      <c r="B17">
        <f t="shared" si="0"/>
        <v>0.81194597592455509</v>
      </c>
      <c r="C17" s="2">
        <f t="shared" si="1"/>
        <v>0.81140737877175395</v>
      </c>
      <c r="D17" s="2">
        <f>tandem!C$8*tandem!C$4*LN((M$28-C17)/tandem!C$9+1)</f>
        <v>0.55316403882550758</v>
      </c>
      <c r="E17" s="2">
        <f>tandem!C$14*tandem!C$4*LN((M$29-C17)/tandem!C$15+1)</f>
        <v>0.67243794664259915</v>
      </c>
      <c r="F17" s="2">
        <f t="shared" si="2"/>
        <v>1.2256019854681068</v>
      </c>
      <c r="G17" s="2">
        <f>A17*calc!M$30</f>
        <v>0.16698347094429442</v>
      </c>
      <c r="H17" s="2">
        <f>A17*calc!M$31</f>
        <v>0.2003801651330801</v>
      </c>
      <c r="I17" s="2">
        <f>tandem!C$10-tandem!C$9*(EXP(G17/tandem!C$8/tandem!C$4)-1)</f>
        <v>0.99999993695476563</v>
      </c>
      <c r="J17" s="2">
        <f>tandem!C$16-tandem!C$15*(EXP(H17/tandem!C$14/tandem!C$4)-1)</f>
        <v>0.99999999775963233</v>
      </c>
    </row>
    <row r="18" spans="1:13" x14ac:dyDescent="0.2">
      <c r="A18">
        <v>0.3</v>
      </c>
      <c r="B18">
        <f t="shared" si="0"/>
        <v>0.79639032329768833</v>
      </c>
      <c r="C18" s="2">
        <f t="shared" si="1"/>
        <v>0.79586204484891832</v>
      </c>
      <c r="D18" s="2">
        <f>tandem!C$8*tandem!C$4*LN((M$28-C18)/tandem!C$9+1)</f>
        <v>0.55521549418141281</v>
      </c>
      <c r="E18" s="2">
        <f>tandem!C$14*tandem!C$4*LN((M$29-C18)/tandem!C$15+1)</f>
        <v>0.67448940199850438</v>
      </c>
      <c r="F18" s="2">
        <f t="shared" si="2"/>
        <v>1.2297048961799173</v>
      </c>
      <c r="G18" s="2">
        <f>A18*calc!M$30</f>
        <v>0.17891086172602971</v>
      </c>
      <c r="H18" s="2">
        <f>A18*calc!M$31</f>
        <v>0.21469303407115722</v>
      </c>
      <c r="I18" s="2">
        <f>tandem!C$10-tandem!C$9*(EXP(G18/tandem!C$8/tandem!C$4)-1)</f>
        <v>0.99999990005049999</v>
      </c>
      <c r="J18" s="2">
        <f>tandem!C$16-tandem!C$15*(EXP(H18/tandem!C$14/tandem!C$4)-1)</f>
        <v>0.99999999606942824</v>
      </c>
    </row>
    <row r="19" spans="1:13" x14ac:dyDescent="0.2">
      <c r="A19">
        <v>0.32</v>
      </c>
      <c r="B19">
        <f t="shared" si="0"/>
        <v>0.78052042564276825</v>
      </c>
      <c r="C19" s="2">
        <f t="shared" si="1"/>
        <v>0.78000267434967807</v>
      </c>
      <c r="D19" s="2">
        <f>tandem!C$8*tandem!C$4*LN((M$28-C19)/tandem!C$9+1)</f>
        <v>0.55715331597048434</v>
      </c>
      <c r="E19" s="2">
        <f>tandem!C$14*tandem!C$4*LN((M$29-C19)/tandem!C$15+1)</f>
        <v>0.67642722378757592</v>
      </c>
      <c r="F19" s="2">
        <f t="shared" si="2"/>
        <v>1.2335805397580604</v>
      </c>
      <c r="G19" s="2">
        <f>A19*calc!M$30</f>
        <v>0.19083825250776504</v>
      </c>
      <c r="H19" s="2">
        <f>A19*calc!M$31</f>
        <v>0.22900590300923437</v>
      </c>
      <c r="I19" s="2">
        <f>tandem!C$10-tandem!C$9*(EXP(G19/tandem!C$8/tandem!C$4)-1)</f>
        <v>0.99999984156118082</v>
      </c>
      <c r="J19" s="2">
        <f>tandem!C$16-tandem!C$15*(EXP(H19/tandem!C$14/tandem!C$4)-1)</f>
        <v>0.99999999313219023</v>
      </c>
    </row>
    <row r="20" spans="1:13" x14ac:dyDescent="0.2">
      <c r="A20">
        <v>0.34</v>
      </c>
      <c r="B20">
        <f t="shared" si="0"/>
        <v>0.76432993478913136</v>
      </c>
      <c r="C20" s="2">
        <f t="shared" si="1"/>
        <v>0.7638229233143724</v>
      </c>
      <c r="D20" s="2">
        <f>tandem!C$8*tandem!C$4*LN((M$28-C20)/tandem!C$9+1)</f>
        <v>0.55899134724440103</v>
      </c>
      <c r="E20" s="2">
        <f>tandem!C$14*tandem!C$4*LN((M$29-C20)/tandem!C$15+1)</f>
        <v>0.6782652550614926</v>
      </c>
      <c r="F20" s="2">
        <f t="shared" si="2"/>
        <v>1.2372566023058935</v>
      </c>
      <c r="G20" s="2">
        <f>A20*calc!M$30</f>
        <v>0.20276564328950036</v>
      </c>
      <c r="H20" s="2">
        <f>A20*calc!M$31</f>
        <v>0.24331877194731152</v>
      </c>
      <c r="I20" s="2">
        <f>tandem!C$10-tandem!C$9*(EXP(G20/tandem!C$8/tandem!C$4)-1)</f>
        <v>0.99999974886185683</v>
      </c>
      <c r="J20" s="2">
        <f>tandem!C$16-tandem!C$15*(EXP(H20/tandem!C$14/tandem!C$4)-1)</f>
        <v>0.99999998802785561</v>
      </c>
    </row>
    <row r="21" spans="1:13" x14ac:dyDescent="0.2">
      <c r="A21">
        <v>0.36</v>
      </c>
      <c r="B21">
        <f t="shared" si="0"/>
        <v>0.74781237432456016</v>
      </c>
      <c r="C21" s="2">
        <f t="shared" si="1"/>
        <v>0.74731631962685441</v>
      </c>
      <c r="D21" s="2">
        <f>tandem!C$8*tandem!C$4*LN((M$28-C21)/tandem!C$9+1)</f>
        <v>0.56074106273505631</v>
      </c>
      <c r="E21" s="2">
        <f>tandem!C$14*tandem!C$4*LN((M$29-C21)/tandem!C$15+1)</f>
        <v>0.68001497055214799</v>
      </c>
      <c r="F21" s="2">
        <f t="shared" si="2"/>
        <v>1.2407560332872043</v>
      </c>
      <c r="G21" s="2">
        <f>A21*calc!M$30</f>
        <v>0.21469303407123566</v>
      </c>
      <c r="H21" s="2">
        <f>A21*calc!M$31</f>
        <v>0.25763164088538865</v>
      </c>
      <c r="I21" s="2">
        <f>tandem!C$10-tandem!C$9*(EXP(G21/tandem!C$8/tandem!C$4)-1)</f>
        <v>0.99999960194332949</v>
      </c>
      <c r="J21" s="2">
        <f>tandem!C$16-tandem!C$15*(EXP(H21/tandem!C$14/tandem!C$4)-1)</f>
        <v>0.99999997915753869</v>
      </c>
    </row>
    <row r="22" spans="1:13" x14ac:dyDescent="0.2">
      <c r="A22">
        <v>0.38</v>
      </c>
      <c r="B22">
        <f t="shared" si="0"/>
        <v>0.73096113700463139</v>
      </c>
      <c r="C22" s="2">
        <f t="shared" si="1"/>
        <v>0.73047626042555769</v>
      </c>
      <c r="D22" s="2">
        <f>tandem!C$8*tandem!C$4*LN((M$28-C22)/tandem!C$9+1)</f>
        <v>0.56241208003983112</v>
      </c>
      <c r="E22" s="2">
        <f>tandem!C$14*tandem!C$4*LN((M$29-C22)/tandem!C$15+1)</f>
        <v>0.68168598785692269</v>
      </c>
      <c r="F22" s="2">
        <f t="shared" si="2"/>
        <v>1.2440980678967537</v>
      </c>
      <c r="G22" s="2">
        <f>A22*calc!M$30</f>
        <v>0.22662042485297096</v>
      </c>
      <c r="H22" s="2">
        <f>A22*calc!M$31</f>
        <v>0.2719445098234658</v>
      </c>
      <c r="I22" s="2">
        <f>tandem!C$10-tandem!C$9*(EXP(G22/tandem!C$8/tandem!C$4)-1)</f>
        <v>0.99999936909315557</v>
      </c>
      <c r="J22" s="2">
        <f>tandem!C$16-tandem!C$15*(EXP(H22/tandem!C$14/tandem!C$4)-1)</f>
        <v>0.99999996374269451</v>
      </c>
    </row>
    <row r="23" spans="1:13" x14ac:dyDescent="0.2">
      <c r="A23">
        <v>0.4</v>
      </c>
      <c r="B23">
        <f t="shared" si="0"/>
        <v>0.71376948210973135</v>
      </c>
      <c r="C23" s="2">
        <f t="shared" si="1"/>
        <v>0.71329600946226501</v>
      </c>
      <c r="D23" s="2">
        <f>tandem!C$8*tandem!C$4*LN((M$28-C23)/tandem!C$9+1)</f>
        <v>0.56401253991823297</v>
      </c>
      <c r="E23" s="2">
        <f>tandem!C$14*tandem!C$4*LN((M$29-C23)/tandem!C$15+1)</f>
        <v>0.68328644773532443</v>
      </c>
      <c r="F23" s="2">
        <f t="shared" si="2"/>
        <v>1.2472989876535574</v>
      </c>
      <c r="G23" s="2">
        <f>A23*calc!M$30</f>
        <v>0.23854781563470628</v>
      </c>
      <c r="H23" s="2">
        <f>A23*calc!M$31</f>
        <v>0.28625737876154295</v>
      </c>
      <c r="I23" s="2">
        <f>tandem!C$10-tandem!C$9*(EXP(G23/tandem!C$8/tandem!C$4)-1)</f>
        <v>0.99999900005050002</v>
      </c>
      <c r="J23" s="2">
        <f>tandem!C$16-tandem!C$15*(EXP(H23/tandem!C$14/tandem!C$4)-1)</f>
        <v>0.99999993695476552</v>
      </c>
    </row>
    <row r="24" spans="1:13" x14ac:dyDescent="0.2">
      <c r="A24">
        <v>0.42</v>
      </c>
      <c r="B24">
        <f t="shared" si="0"/>
        <v>0.69623053274867686</v>
      </c>
      <c r="C24" s="2">
        <f t="shared" si="1"/>
        <v>0.69576869440751798</v>
      </c>
      <c r="D24" s="2">
        <f>tandem!C$8*tandem!C$4*LN((M$28-C24)/tandem!C$9+1)</f>
        <v>0.56554939396499515</v>
      </c>
      <c r="E24" s="2">
        <f>tandem!C$14*tandem!C$4*LN((M$29-C24)/tandem!C$15+1)</f>
        <v>0.68482330178208661</v>
      </c>
      <c r="F24" s="2">
        <f t="shared" si="2"/>
        <v>1.2503726957470818</v>
      </c>
      <c r="G24" s="2">
        <f>A24*calc!M$30</f>
        <v>0.25047520641644161</v>
      </c>
      <c r="H24" s="2">
        <f>A24*calc!M$31</f>
        <v>0.3005702476996201</v>
      </c>
      <c r="I24" s="2">
        <f>tandem!C$10-tandem!C$9*(EXP(G24/tandem!C$8/tandem!C$4)-1)</f>
        <v>0.99999841515730759</v>
      </c>
      <c r="J24" s="2">
        <f>tandem!C$16-tandem!C$15*(EXP(H24/tandem!C$14/tandem!C$4)-1)</f>
        <v>0.99999989040268034</v>
      </c>
    </row>
    <row r="25" spans="1:13" x14ac:dyDescent="0.2">
      <c r="A25">
        <v>0.44</v>
      </c>
      <c r="B25">
        <f t="shared" si="0"/>
        <v>0.6783372731078674</v>
      </c>
      <c r="C25" s="2">
        <f t="shared" si="1"/>
        <v>0.67788730410159359</v>
      </c>
      <c r="D25" s="2">
        <f>tandem!C$8*tandem!C$4*LN((M$28-C25)/tandem!C$9+1)</f>
        <v>0.56702862547768085</v>
      </c>
      <c r="E25" s="2">
        <f>tandem!C$14*tandem!C$4*LN((M$29-C25)/tandem!C$15+1)</f>
        <v>0.68630253329477242</v>
      </c>
      <c r="F25" s="2">
        <f t="shared" si="2"/>
        <v>1.2533311587724532</v>
      </c>
      <c r="G25" s="2">
        <f>A25*calc!M$30</f>
        <v>0.26240259719817693</v>
      </c>
      <c r="H25" s="2">
        <f>A25*calc!M$31</f>
        <v>0.31488311663769725</v>
      </c>
      <c r="I25" s="2">
        <f>tandem!C$10-tandem!C$9*(EXP(G25/tandem!C$8/tandem!C$4)-1)</f>
        <v>0.99999748816406853</v>
      </c>
      <c r="J25" s="2">
        <f>tandem!C$16-tandem!C$15*(EXP(H25/tandem!C$14/tandem!C$4)-1)</f>
        <v>0.99999980950442813</v>
      </c>
    </row>
    <row r="26" spans="1:13" x14ac:dyDescent="0.2">
      <c r="A26">
        <v>0.46</v>
      </c>
      <c r="B26">
        <f t="shared" si="0"/>
        <v>0.66008254564486712</v>
      </c>
      <c r="C26" s="2">
        <f t="shared" si="1"/>
        <v>0.65964468574994839</v>
      </c>
      <c r="D26" s="2">
        <f>tandem!C$8*tandem!C$4*LN((M$28-C26)/tandem!C$9+1)</f>
        <v>0.56845542131227378</v>
      </c>
      <c r="E26" s="2">
        <f>tandem!C$14*tandem!C$4*LN((M$29-C26)/tandem!C$15+1)</f>
        <v>0.68772932912936535</v>
      </c>
      <c r="F26" s="2">
        <f t="shared" si="2"/>
        <v>1.2561847504416392</v>
      </c>
      <c r="G26" s="2">
        <f>A26*calc!M$30</f>
        <v>0.27432998797991226</v>
      </c>
      <c r="H26" s="2">
        <f>A26*calc!M$31</f>
        <v>0.3291959855757744</v>
      </c>
      <c r="I26" s="2">
        <f>tandem!C$10-tandem!C$9*(EXP(G26/tandem!C$8/tandem!C$4)-1)</f>
        <v>0.99999601897879442</v>
      </c>
      <c r="J26" s="2">
        <f>tandem!C$16-tandem!C$15*(EXP(H26/tandem!C$14/tandem!C$4)-1)</f>
        <v>0.99999966891937841</v>
      </c>
    </row>
    <row r="27" spans="1:13" x14ac:dyDescent="0.2">
      <c r="A27">
        <v>0.48</v>
      </c>
      <c r="B27">
        <f t="shared" si="0"/>
        <v>0.64145904822529087</v>
      </c>
      <c r="C27" s="2">
        <f t="shared" si="1"/>
        <v>0.64103354206200303</v>
      </c>
      <c r="D27" s="2">
        <f>tandem!C$8*tandem!C$4*LN((M$28-C27)/tandem!C$9+1)</f>
        <v>0.56983430722533179</v>
      </c>
      <c r="E27" s="2">
        <f>tandem!C$14*tandem!C$4*LN((M$29-C27)/tandem!C$15+1)</f>
        <v>0.68910821504242326</v>
      </c>
      <c r="F27" s="2">
        <f t="shared" si="2"/>
        <v>1.258942522267755</v>
      </c>
      <c r="G27" s="2">
        <f>A27*calc!M$30</f>
        <v>0.28625737876164753</v>
      </c>
      <c r="H27" s="2">
        <f>A27*calc!M$31</f>
        <v>0.34350885451385155</v>
      </c>
      <c r="I27" s="2">
        <f>tandem!C$10-tandem!C$9*(EXP(G27/tandem!C$8/tandem!C$4)-1)</f>
        <v>0.99999369047705511</v>
      </c>
      <c r="J27" s="2">
        <f>tandem!C$16-tandem!C$15*(EXP(H27/tandem!C$14/tandem!C$4)-1)</f>
        <v>0.99999942461056257</v>
      </c>
      <c r="L27" t="s">
        <v>44</v>
      </c>
      <c r="M27">
        <v>0.99933665888030565</v>
      </c>
    </row>
    <row r="28" spans="1:13" x14ac:dyDescent="0.2">
      <c r="A28">
        <v>0.5</v>
      </c>
      <c r="B28">
        <f t="shared" si="0"/>
        <v>0.62245933120185448</v>
      </c>
      <c r="C28" s="2">
        <f t="shared" si="1"/>
        <v>0.62204642833213086</v>
      </c>
      <c r="D28" s="2">
        <f>tandem!C$8*tandem!C$4*LN((M$28-C28)/tandem!C$9+1)</f>
        <v>0.57116925563390997</v>
      </c>
      <c r="E28" s="2">
        <f>tandem!C$14*tandem!C$4*LN((M$29-C28)/tandem!C$15+1)</f>
        <v>0.69044316345100154</v>
      </c>
      <c r="F28" s="2">
        <f t="shared" si="2"/>
        <v>1.2616124190849116</v>
      </c>
      <c r="G28" s="2">
        <f>A28*calc!M$30</f>
        <v>0.29818476954338285</v>
      </c>
      <c r="H28" s="2">
        <f>A28*calc!M$31</f>
        <v>0.3578217234519287</v>
      </c>
      <c r="I28" s="2">
        <f>tandem!C$10-tandem!C$9*(EXP(G28/tandem!C$8/tandem!C$4)-1)</f>
        <v>0.99999000005049976</v>
      </c>
      <c r="J28" s="2">
        <f>tandem!C$16-tandem!C$15*(EXP(H28/tandem!C$14/tandem!C$4)-1)</f>
        <v>0.99999900005049991</v>
      </c>
      <c r="L28" t="s">
        <v>45</v>
      </c>
      <c r="M28">
        <v>0.99999999995050004</v>
      </c>
    </row>
    <row r="29" spans="1:13" x14ac:dyDescent="0.2">
      <c r="A29">
        <v>0.52</v>
      </c>
      <c r="B29">
        <f t="shared" si="0"/>
        <v>0.6030757944344155</v>
      </c>
      <c r="C29" s="2">
        <f t="shared" si="1"/>
        <v>0.60267574946167479</v>
      </c>
      <c r="D29" s="2">
        <f>tandem!C$8*tandem!C$4*LN((M$28-C29)/tandem!C$9+1)</f>
        <v>0.57246377227530598</v>
      </c>
      <c r="E29" s="2">
        <f>tandem!C$14*tandem!C$4*LN((M$29-C29)/tandem!C$15+1)</f>
        <v>0.69173768009239756</v>
      </c>
      <c r="F29" s="2">
        <f t="shared" si="2"/>
        <v>1.2642014523677036</v>
      </c>
      <c r="G29" s="2">
        <f>A29*calc!M$30</f>
        <v>0.31011216032511818</v>
      </c>
      <c r="H29" s="2">
        <f>A29*calc!M$31</f>
        <v>0.37213459239000585</v>
      </c>
      <c r="I29" s="2">
        <f>tandem!C$10-tandem!C$9*(EXP(G29/tandem!C$8/tandem!C$4)-1)</f>
        <v>0.99998415111857497</v>
      </c>
      <c r="J29" s="2">
        <f>tandem!C$16-tandem!C$15*(EXP(H29/tandem!C$14/tandem!C$4)-1)</f>
        <v>0.99999826224967114</v>
      </c>
      <c r="L29" t="s">
        <v>46</v>
      </c>
      <c r="M29">
        <v>1.0000000000495</v>
      </c>
    </row>
    <row r="30" spans="1:13" x14ac:dyDescent="0.2">
      <c r="A30">
        <v>0.54</v>
      </c>
      <c r="B30">
        <f t="shared" si="0"/>
        <v>0.58330068424981629</v>
      </c>
      <c r="C30" s="2">
        <f t="shared" si="1"/>
        <v>0.58291375692080749</v>
      </c>
      <c r="D30" s="2">
        <f>tandem!C$8*tandem!C$4*LN((M$28-C30)/tandem!C$9+1)</f>
        <v>0.57372096653823779</v>
      </c>
      <c r="E30" s="2">
        <f>tandem!C$14*tandem!C$4*LN((M$29-C30)/tandem!C$15+1)</f>
        <v>0.69299487435532936</v>
      </c>
      <c r="F30" s="2">
        <f t="shared" si="2"/>
        <v>1.2667158408935673</v>
      </c>
      <c r="G30" s="2">
        <f>A30*calc!M$30</f>
        <v>0.32203955110685351</v>
      </c>
      <c r="H30" s="2">
        <f>A30*calc!M$31</f>
        <v>0.386447461328083</v>
      </c>
      <c r="I30" s="2">
        <f>tandem!C$10-tandem!C$9*(EXP(G30/tandem!C$8/tandem!C$4)-1)</f>
        <v>0.99997488118618427</v>
      </c>
      <c r="J30" s="2">
        <f>tandem!C$16-tandem!C$15*(EXP(H30/tandem!C$14/tandem!C$4)-1)</f>
        <v>0.99999698009877946</v>
      </c>
      <c r="L30" t="s">
        <v>37</v>
      </c>
      <c r="M30" s="2">
        <v>0.59636953908676571</v>
      </c>
    </row>
    <row r="31" spans="1:13" x14ac:dyDescent="0.2">
      <c r="A31">
        <v>0.56000000000000005</v>
      </c>
      <c r="B31">
        <f t="shared" si="0"/>
        <v>0.56312609034031147</v>
      </c>
      <c r="C31" s="2">
        <f t="shared" si="1"/>
        <v>0.562752545649016</v>
      </c>
      <c r="D31" s="2">
        <f>tandem!C$8*tandem!C$4*LN((M$28-C31)/tandem!C$9+1)</f>
        <v>0.57494360902376285</v>
      </c>
      <c r="E31" s="2">
        <f>tandem!C$14*tandem!C$4*LN((M$29-C31)/tandem!C$15+1)</f>
        <v>0.69421751684085431</v>
      </c>
      <c r="F31" s="2">
        <f t="shared" si="2"/>
        <v>1.2691611258646172</v>
      </c>
      <c r="G31" s="2">
        <f>A31*calc!M$30</f>
        <v>0.33396694188858883</v>
      </c>
      <c r="H31" s="2">
        <f>A31*calc!M$31</f>
        <v>0.4007603302661602</v>
      </c>
      <c r="I31" s="2">
        <f>tandem!C$10-tandem!C$9*(EXP(G31/tandem!C$8/tandem!C$4)-1)</f>
        <v>0.99996018933344355</v>
      </c>
      <c r="J31" s="2">
        <f>tandem!C$16-tandem!C$15*(EXP(H31/tandem!C$14/tandem!C$4)-1)</f>
        <v>0.99999475197589727</v>
      </c>
      <c r="L31" t="s">
        <v>39</v>
      </c>
      <c r="M31" s="2">
        <v>0.71564344690385739</v>
      </c>
    </row>
    <row r="32" spans="1:13" x14ac:dyDescent="0.2">
      <c r="A32">
        <v>0.57999999999999996</v>
      </c>
      <c r="B32">
        <f t="shared" si="0"/>
        <v>0.54254394259933914</v>
      </c>
      <c r="C32" s="2">
        <f t="shared" si="1"/>
        <v>0.54218405089297195</v>
      </c>
      <c r="D32" s="2">
        <f>tandem!C$8*tandem!C$4*LN((M$28-C32)/tandem!C$9+1)</f>
        <v>0.57613417902119901</v>
      </c>
      <c r="E32" s="2">
        <f>tandem!C$14*tandem!C$4*LN((M$29-C32)/tandem!C$15+1)</f>
        <v>0.69540808683829058</v>
      </c>
      <c r="F32" s="2">
        <f t="shared" si="2"/>
        <v>1.2715422658594897</v>
      </c>
      <c r="G32" s="2">
        <f>A32*calc!M$30</f>
        <v>0.3458943326703241</v>
      </c>
      <c r="H32" s="2">
        <f>A32*calc!M$31</f>
        <v>0.41507319920423724</v>
      </c>
      <c r="I32" s="2">
        <f>tandem!C$10-tandem!C$9*(EXP(G32/tandem!C$8/tandem!C$4)-1)</f>
        <v>0.9999369043160502</v>
      </c>
      <c r="J32" s="2">
        <f>tandem!C$16-tandem!C$15*(EXP(H32/tandem!C$14/tandem!C$4)-1)</f>
        <v>0.99999087994210611</v>
      </c>
      <c r="L32" t="s">
        <v>20</v>
      </c>
      <c r="M32">
        <v>1.3120129859906231</v>
      </c>
    </row>
    <row r="33" spans="1:10" x14ac:dyDescent="0.2">
      <c r="A33">
        <v>0.6</v>
      </c>
      <c r="B33">
        <f t="shared" si="0"/>
        <v>0.52154600789337047</v>
      </c>
      <c r="C33" s="2">
        <f t="shared" si="1"/>
        <v>0.52120004498052241</v>
      </c>
      <c r="D33" s="2">
        <f>tandem!C$8*tandem!C$4*LN((M$28-C33)/tandem!C$9+1)</f>
        <v>0.57729490394780603</v>
      </c>
      <c r="E33" s="2">
        <f>tandem!C$14*tandem!C$4*LN((M$29-C33)/tandem!C$15+1)</f>
        <v>0.69656881176489771</v>
      </c>
      <c r="F33" s="2">
        <f t="shared" si="2"/>
        <v>1.2738637157127037</v>
      </c>
      <c r="G33" s="2">
        <f>A33*calc!M$30</f>
        <v>0.35782172345205943</v>
      </c>
      <c r="H33" s="2">
        <f>A33*calc!M$31</f>
        <v>0.42938606814231445</v>
      </c>
      <c r="I33" s="2">
        <f>tandem!C$10-tandem!C$9*(EXP(G33/tandem!C$8/tandem!C$4)-1)</f>
        <v>0.99990000005049706</v>
      </c>
      <c r="J33" s="2">
        <f>tandem!C$16-tandem!C$15*(EXP(H33/tandem!C$14/tandem!C$4)-1)</f>
        <v>0.99998415111857486</v>
      </c>
    </row>
    <row r="34" spans="1:10" x14ac:dyDescent="0.2">
      <c r="A34">
        <v>0.62</v>
      </c>
      <c r="B34">
        <f t="shared" si="0"/>
        <v>0.5001238867685468</v>
      </c>
      <c r="C34" s="2">
        <f t="shared" si="1"/>
        <v>0.49979213402951184</v>
      </c>
      <c r="D34" s="2">
        <f>tandem!C$8*tandem!C$4*LN((M$28-C34)/tandem!C$9+1)</f>
        <v>0.5784277923312735</v>
      </c>
      <c r="E34" s="2">
        <f>tandem!C$14*tandem!C$4*LN((M$29-C34)/tandem!C$15+1)</f>
        <v>0.69770170014836508</v>
      </c>
      <c r="F34" s="2">
        <f t="shared" si="2"/>
        <v>1.2761294924796385</v>
      </c>
      <c r="G34" s="2">
        <f>A34*calc!M$30</f>
        <v>0.36974911423379475</v>
      </c>
      <c r="H34" s="2">
        <f>A34*calc!M$31</f>
        <v>0.4436989370803916</v>
      </c>
      <c r="I34" s="2">
        <f>tandem!C$10-tandem!C$9*(EXP(G34/tandem!C$8/tandem!C$4)-1)</f>
        <v>0.99984151073124894</v>
      </c>
      <c r="J34" s="2">
        <f>tandem!C$16-tandem!C$15*(EXP(H34/tandem!C$14/tandem!C$4)-1)</f>
        <v>0.99997245776346566</v>
      </c>
    </row>
    <row r="35" spans="1:10" x14ac:dyDescent="0.2">
      <c r="A35">
        <v>0.64</v>
      </c>
      <c r="B35">
        <f t="shared" ref="B35:B53" si="3">1-(EXP(A35)-1)/(EXP(1)-1)</f>
        <v>0.47826901009078626</v>
      </c>
      <c r="C35" s="2">
        <f t="shared" si="1"/>
        <v>0.47795175459011752</v>
      </c>
      <c r="D35" s="2">
        <f>tandem!C$8*tandem!C$4*LN((M$28-C35)/tandem!C$9+1)</f>
        <v>0.57953466156353395</v>
      </c>
      <c r="E35" s="2">
        <f>tandem!C$14*tandem!C$4*LN((M$29-C35)/tandem!C$15+1)</f>
        <v>0.69880856938062552</v>
      </c>
      <c r="F35" s="2">
        <f t="shared" si="2"/>
        <v>1.2783432309441594</v>
      </c>
      <c r="G35" s="2">
        <f>A35*calc!M$30</f>
        <v>0.38167650501553008</v>
      </c>
      <c r="H35" s="2">
        <f>A35*calc!M$31</f>
        <v>0.45801180601846875</v>
      </c>
      <c r="I35" s="2">
        <f>tandem!C$10-tandem!C$9*(EXP(G35/tandem!C$8/tandem!C$4)-1)</f>
        <v>0.99974881140734095</v>
      </c>
      <c r="J35" s="2">
        <f>tandem!C$16-tandem!C$15*(EXP(H35/tandem!C$14/tandem!C$4)-1)</f>
        <v>0.99995213704126618</v>
      </c>
    </row>
    <row r="36" spans="1:10" x14ac:dyDescent="0.2">
      <c r="A36">
        <v>0.66</v>
      </c>
      <c r="B36">
        <f t="shared" si="3"/>
        <v>0.45597263561801538</v>
      </c>
      <c r="C36" s="2">
        <f t="shared" si="1"/>
        <v>0.45567017021935452</v>
      </c>
      <c r="D36" s="2">
        <f>tandem!C$8*tandem!C$4*LN((M$28-C36)/tandem!C$9+1)</f>
        <v>0.58061716139009034</v>
      </c>
      <c r="E36" s="2">
        <f>tandem!C$14*tandem!C$4*LN((M$29-C36)/tandem!C$15+1)</f>
        <v>0.69989106920718192</v>
      </c>
      <c r="F36" s="2">
        <f t="shared" ref="F36:F53" si="4">D36+E36</f>
        <v>1.2805082305972721</v>
      </c>
      <c r="G36" s="2">
        <f>A36*calc!M$30</f>
        <v>0.3936038957972654</v>
      </c>
      <c r="H36" s="2">
        <f>A36*calc!M$31</f>
        <v>0.4723246749565459</v>
      </c>
      <c r="I36" s="2">
        <f>tandem!C$10-tandem!C$9*(EXP(G36/tandem!C$8/tandem!C$4)-1)</f>
        <v>0.99960189287993328</v>
      </c>
      <c r="J36" s="2">
        <f>tandem!C$16-tandem!C$15*(EXP(H36/tandem!C$14/tandem!C$4)-1)</f>
        <v>0.99991682367338697</v>
      </c>
    </row>
    <row r="37" spans="1:10" x14ac:dyDescent="0.2">
      <c r="A37">
        <v>0.68</v>
      </c>
      <c r="B37">
        <f t="shared" si="3"/>
        <v>0.43322584450315627</v>
      </c>
      <c r="C37" s="2">
        <f t="shared" si="1"/>
        <v>0.43293846798638302</v>
      </c>
      <c r="D37" s="2">
        <f>tandem!C$8*tandem!C$4*LN((M$28-C37)/tandem!C$9+1)</f>
        <v>0.58167679389778382</v>
      </c>
      <c r="E37" s="2">
        <f>tandem!C$14*tandem!C$4*LN((M$29-C37)/tandem!C$15+1)</f>
        <v>0.70095070171487539</v>
      </c>
      <c r="F37" s="2">
        <f t="shared" si="4"/>
        <v>1.2826274956126591</v>
      </c>
      <c r="G37" s="2">
        <f>A37*calc!M$30</f>
        <v>0.40553128657900073</v>
      </c>
      <c r="H37" s="2">
        <f>A37*calc!M$31</f>
        <v>0.48663754389462305</v>
      </c>
      <c r="I37" s="2">
        <f>tandem!C$10-tandem!C$9*(EXP(G37/tandem!C$8/tandem!C$4)-1)</f>
        <v>0.99936904270599813</v>
      </c>
      <c r="J37" s="2">
        <f>tandem!C$16-tandem!C$15*(EXP(H37/tandem!C$14/tandem!C$4)-1)</f>
        <v>0.99985545607342041</v>
      </c>
    </row>
    <row r="38" spans="1:10" x14ac:dyDescent="0.2">
      <c r="A38">
        <v>0.70000000000000007</v>
      </c>
      <c r="B38">
        <f t="shared" si="3"/>
        <v>0.41001953772646837</v>
      </c>
      <c r="C38" s="2">
        <f t="shared" si="1"/>
        <v>0.40974755490721632</v>
      </c>
      <c r="D38" s="2">
        <f>tandem!C$8*tandem!C$4*LN((M$28-C38)/tandem!C$9+1)</f>
        <v>0.58271493060929092</v>
      </c>
      <c r="E38" s="2">
        <f>tandem!C$14*tandem!C$4*LN((M$29-C38)/tandem!C$15+1)</f>
        <v>0.70198883842638249</v>
      </c>
      <c r="F38" s="2">
        <f t="shared" si="4"/>
        <v>1.2847037690356733</v>
      </c>
      <c r="G38" s="2">
        <f>A38*calc!M$30</f>
        <v>0.41745867736073605</v>
      </c>
      <c r="H38" s="2">
        <f>A38*calc!M$31</f>
        <v>0.50095041283270025</v>
      </c>
      <c r="I38" s="2">
        <f>tandem!C$10-tandem!C$9*(EXP(G38/tandem!C$8/tandem!C$4)-1)</f>
        <v>0.99900000005046474</v>
      </c>
      <c r="J38" s="2">
        <f>tandem!C$16-tandem!C$15*(EXP(H38/tandem!C$14/tandem!C$4)-1)</f>
        <v>0.99974881140734007</v>
      </c>
    </row>
    <row r="39" spans="1:10" x14ac:dyDescent="0.2">
      <c r="A39">
        <v>0.72</v>
      </c>
      <c r="B39">
        <f t="shared" si="3"/>
        <v>0.3863444324558194</v>
      </c>
      <c r="C39" s="2">
        <f t="shared" si="1"/>
        <v>0.38608815430740645</v>
      </c>
      <c r="D39" s="2">
        <f>tandem!C$8*tandem!C$4*LN((M$28-C39)/tandem!C$9+1)</f>
        <v>0.58373282717281683</v>
      </c>
      <c r="E39" s="2">
        <f>tandem!C$14*tandem!C$4*LN((M$29-C39)/tandem!C$15+1)</f>
        <v>0.7030067349899084</v>
      </c>
      <c r="F39" s="2">
        <f t="shared" si="4"/>
        <v>1.2867395621627251</v>
      </c>
      <c r="G39" s="2">
        <f>A39*calc!M$30</f>
        <v>0.42938606814247132</v>
      </c>
      <c r="H39" s="2">
        <f>A39*calc!M$31</f>
        <v>0.51526328177077729</v>
      </c>
      <c r="I39" s="2">
        <f>tandem!C$10-tandem!C$9*(EXP(G39/tandem!C$8/tandem!C$4)-1)</f>
        <v>0.99841510685798129</v>
      </c>
      <c r="J39" s="2">
        <f>tandem!C$16-tandem!C$15*(EXP(H39/tandem!C$14/tandem!C$4)-1)</f>
        <v>0.99956348421824393</v>
      </c>
    </row>
    <row r="40" spans="1:10" x14ac:dyDescent="0.2">
      <c r="A40">
        <v>0.74</v>
      </c>
      <c r="B40">
        <f t="shared" si="3"/>
        <v>0.36219105833342879</v>
      </c>
      <c r="C40" s="2">
        <f t="shared" si="1"/>
        <v>0.36195080211125064</v>
      </c>
      <c r="D40" s="2">
        <f>tandem!C$8*tandem!C$4*LN((M$28-C40)/tandem!C$9+1)</f>
        <v>0.58473163604186673</v>
      </c>
      <c r="E40" s="2">
        <f>tandem!C$14*tandem!C$4*LN((M$29-C40)/tandem!C$15+1)</f>
        <v>0.70400554385895819</v>
      </c>
      <c r="F40" s="2">
        <f t="shared" si="4"/>
        <v>1.2887371799008249</v>
      </c>
      <c r="G40" s="2">
        <f>A40*calc!M$30</f>
        <v>0.44131345892420665</v>
      </c>
      <c r="H40" s="2">
        <f>A40*calc!M$31</f>
        <v>0.52957615070885444</v>
      </c>
      <c r="I40" s="2">
        <f>tandem!C$10-tandem!C$9*(EXP(G40/tandem!C$8/tandem!C$4)-1)</f>
        <v>0.99748811361889655</v>
      </c>
      <c r="J40" s="2">
        <f>tandem!C$16-tandem!C$15*(EXP(H40/tandem!C$14/tandem!C$4)-1)</f>
        <v>0.99924142247544245</v>
      </c>
    </row>
    <row r="41" spans="1:10" x14ac:dyDescent="0.2">
      <c r="A41">
        <v>0.76</v>
      </c>
      <c r="B41">
        <f t="shared" si="3"/>
        <v>0.33754975368759832</v>
      </c>
      <c r="C41" s="2">
        <f t="shared" si="1"/>
        <v>0.33732584305603464</v>
      </c>
      <c r="D41" s="2">
        <f>tandem!C$8*tandem!C$4*LN((M$28-C41)/tandem!C$9+1)</f>
        <v>0.5857124174663394</v>
      </c>
      <c r="E41" s="2">
        <f>tandem!C$14*tandem!C$4*LN((M$29-C41)/tandem!C$15+1)</f>
        <v>0.70498632528343086</v>
      </c>
      <c r="F41" s="2">
        <f t="shared" si="4"/>
        <v>1.2906987427497703</v>
      </c>
      <c r="G41" s="2">
        <f>A41*calc!M$30</f>
        <v>0.45324084970594192</v>
      </c>
      <c r="H41" s="2">
        <f>A41*calc!M$31</f>
        <v>0.54388901964693159</v>
      </c>
      <c r="I41" s="2">
        <f>tandem!C$10-tandem!C$9*(EXP(G41/tandem!C$8/tandem!C$4)-1)</f>
        <v>0.99601892834481232</v>
      </c>
      <c r="J41" s="2">
        <f>tandem!C$16-tandem!C$15*(EXP(H41/tandem!C$14/tandem!C$4)-1)</f>
        <v>0.99868174331189297</v>
      </c>
    </row>
    <row r="42" spans="1:10" x14ac:dyDescent="0.2">
      <c r="A42">
        <v>0.78</v>
      </c>
      <c r="B42">
        <f t="shared" si="3"/>
        <v>0.31241066166791442</v>
      </c>
      <c r="C42" s="2">
        <f t="shared" si="1"/>
        <v>0.31220342682979918</v>
      </c>
      <c r="D42" s="2">
        <f>tandem!C$8*tandem!C$4*LN((M$28-C42)/tandem!C$9+1)</f>
        <v>0.58667614905783783</v>
      </c>
      <c r="E42" s="2">
        <f>tandem!C$14*tandem!C$4*LN((M$29-C42)/tandem!C$15+1)</f>
        <v>0.7059500568749294</v>
      </c>
      <c r="F42" s="2">
        <f t="shared" si="4"/>
        <v>1.2926262059327671</v>
      </c>
      <c r="G42" s="2">
        <f>A42*calc!M$30</f>
        <v>0.46516824048767724</v>
      </c>
      <c r="H42" s="2">
        <f>A42*calc!M$31</f>
        <v>0.55820188858500874</v>
      </c>
      <c r="I42" s="2">
        <f>tandem!C$10-tandem!C$9*(EXP(G42/tandem!C$8/tandem!C$4)-1)</f>
        <v>0.99369042660544959</v>
      </c>
      <c r="J42" s="2">
        <f>tandem!C$16-tandem!C$15*(EXP(H42/tandem!C$14/tandem!C$4)-1)</f>
        <v>0.99770913239764192</v>
      </c>
    </row>
    <row r="43" spans="1:10" x14ac:dyDescent="0.2">
      <c r="A43">
        <v>0.8</v>
      </c>
      <c r="B43">
        <f t="shared" si="3"/>
        <v>0.28676372630237679</v>
      </c>
      <c r="C43" s="2">
        <f t="shared" si="1"/>
        <v>0.28657350413108362</v>
      </c>
      <c r="D43" s="2">
        <f>tandem!C$8*tandem!C$4*LN((M$28-C43)/tandem!C$9+1)</f>
        <v>0.58762373414554703</v>
      </c>
      <c r="E43" s="2">
        <f>tandem!C$14*tandem!C$4*LN((M$29-C43)/tandem!C$15+1)</f>
        <v>0.70689764196263849</v>
      </c>
      <c r="F43" s="2">
        <f t="shared" si="4"/>
        <v>1.2945213761081855</v>
      </c>
      <c r="G43" s="2">
        <f>A43*calc!M$30</f>
        <v>0.47709563126941257</v>
      </c>
      <c r="H43" s="2">
        <f>A43*calc!M$31</f>
        <v>0.57251475752308589</v>
      </c>
      <c r="I43" s="2">
        <f>tandem!C$10-tandem!C$9*(EXP(G43/tandem!C$8/tandem!C$4)-1)</f>
        <v>0.99000000005009603</v>
      </c>
      <c r="J43" s="2">
        <f>tandem!C$16-tandem!C$15*(EXP(H43/tandem!C$14/tandem!C$4)-1)</f>
        <v>0.9960189283448041</v>
      </c>
    </row>
    <row r="44" spans="1:10" x14ac:dyDescent="0.2">
      <c r="A44">
        <v>0.82000000000000006</v>
      </c>
      <c r="B44">
        <f t="shared" si="3"/>
        <v>0.26059868847487599</v>
      </c>
      <c r="C44" s="2">
        <f t="shared" si="1"/>
        <v>0.26042582264907221</v>
      </c>
      <c r="D44" s="2">
        <f>tandem!C$8*tandem!C$4*LN((M$28-C44)/tandem!C$9+1)</f>
        <v>0.58855600910166994</v>
      </c>
      <c r="E44" s="2">
        <f>tandem!C$14*tandem!C$4*LN((M$29-C44)/tandem!C$15+1)</f>
        <v>0.70782991691876163</v>
      </c>
      <c r="F44" s="2">
        <f t="shared" si="4"/>
        <v>1.2963859260204316</v>
      </c>
      <c r="G44" s="2">
        <f>A44*calc!M$30</f>
        <v>0.48902302205114789</v>
      </c>
      <c r="H44" s="2">
        <f>A44*calc!M$31</f>
        <v>0.58682762646116315</v>
      </c>
      <c r="I44" s="2">
        <f>tandem!C$10-tandem!C$9*(EXP(G44/tandem!C$8/tandem!C$4)-1)</f>
        <v>0.98415106812523256</v>
      </c>
      <c r="J44" s="2">
        <f>tandem!C$16-tandem!C$15*(EXP(H44/tandem!C$14/tandem!C$4)-1)</f>
        <v>0.99308169034102411</v>
      </c>
    </row>
    <row r="45" spans="1:10" x14ac:dyDescent="0.2">
      <c r="A45">
        <v>0.84</v>
      </c>
      <c r="B45">
        <f t="shared" si="3"/>
        <v>0.23390508182140923</v>
      </c>
      <c r="C45" s="2">
        <f t="shared" si="1"/>
        <v>0.23374992296253161</v>
      </c>
      <c r="D45" s="2">
        <f>tandem!C$8*tandem!C$4*LN((M$28-C45)/tandem!C$9+1)</f>
        <v>0.58947374978525502</v>
      </c>
      <c r="E45" s="2">
        <f>tandem!C$14*tandem!C$4*LN((M$29-C45)/tandem!C$15+1)</f>
        <v>0.70874765760234659</v>
      </c>
      <c r="F45" s="2">
        <f t="shared" si="4"/>
        <v>1.2982214073876017</v>
      </c>
      <c r="G45" s="2">
        <f>A45*calc!M$30</f>
        <v>0.50095041283288322</v>
      </c>
      <c r="H45" s="2">
        <f>A45*calc!M$31</f>
        <v>0.60114049539924019</v>
      </c>
      <c r="I45" s="2">
        <f>tandem!C$10-tandem!C$9*(EXP(G45/tandem!C$8/tandem!C$4)-1)</f>
        <v>0.97488113573433877</v>
      </c>
      <c r="J45" s="2">
        <f>tandem!C$16-tandem!C$15*(EXP(H45/tandem!C$14/tandem!C$4)-1)</f>
        <v>0.98797735570381584</v>
      </c>
    </row>
    <row r="46" spans="1:10" x14ac:dyDescent="0.2">
      <c r="A46">
        <v>0.86</v>
      </c>
      <c r="B46">
        <f t="shared" si="3"/>
        <v>0.20667222854339495</v>
      </c>
      <c r="C46" s="2">
        <f t="shared" si="1"/>
        <v>0.20653513435590326</v>
      </c>
      <c r="D46" s="2">
        <f>tandem!C$8*tandem!C$4*LN((M$28-C46)/tandem!C$9+1)</f>
        <v>0.59037767722874979</v>
      </c>
      <c r="E46" s="2">
        <f>tandem!C$14*tandem!C$4*LN((M$29-C46)/tandem!C$15+1)</f>
        <v>0.70965158504584125</v>
      </c>
      <c r="F46" s="2">
        <f t="shared" si="4"/>
        <v>1.300029262274591</v>
      </c>
      <c r="G46" s="2">
        <f>A46*calc!M$30</f>
        <v>0.51287780361461854</v>
      </c>
      <c r="H46" s="2">
        <f>A46*calc!M$31</f>
        <v>0.61545336433731734</v>
      </c>
      <c r="I46" s="2">
        <f>tandem!C$10-tandem!C$9*(EXP(G46/tandem!C$8/tandem!C$4)-1)</f>
        <v>0.96018928299342143</v>
      </c>
      <c r="J46" s="2">
        <f>tandem!C$16-tandem!C$15*(EXP(H46/tandem!C$14/tandem!C$4)-1)</f>
        <v>0.97910703874105209</v>
      </c>
    </row>
    <row r="47" spans="1:10" x14ac:dyDescent="0.2">
      <c r="A47">
        <v>0.88</v>
      </c>
      <c r="B47">
        <f t="shared" si="3"/>
        <v>0.17888923513641275</v>
      </c>
      <c r="C47" s="2">
        <f t="shared" si="1"/>
        <v>0.17877057055087608</v>
      </c>
      <c r="D47" s="2">
        <f>tandem!C$8*tandem!C$4*LN((M$28-C47)/tandem!C$9+1)</f>
        <v>0.59126846267163446</v>
      </c>
      <c r="E47" s="2">
        <f>tandem!C$14*tandem!C$4*LN((M$29-C47)/tandem!C$15+1)</f>
        <v>0.71054237048872604</v>
      </c>
      <c r="F47" s="2">
        <f t="shared" si="4"/>
        <v>1.3018108331603604</v>
      </c>
      <c r="G47" s="2">
        <f>A47*calc!M$30</f>
        <v>0.52480519439635387</v>
      </c>
      <c r="H47" s="2">
        <f>A47*calc!M$31</f>
        <v>0.62976623327539449</v>
      </c>
      <c r="I47" s="2">
        <f>tandem!C$10-tandem!C$9*(EXP(G47/tandem!C$8/tandem!C$4)-1)</f>
        <v>0.93690426559967688</v>
      </c>
      <c r="J47" s="2">
        <f>tandem!C$16-tandem!C$15*(EXP(H47/tandem!C$14/tandem!C$4)-1)</f>
        <v>0.96369219457187616</v>
      </c>
    </row>
    <row r="48" spans="1:10" x14ac:dyDescent="0.2">
      <c r="A48">
        <v>0.9</v>
      </c>
      <c r="B48">
        <f t="shared" si="3"/>
        <v>0.15054498803265481</v>
      </c>
      <c r="C48" s="2">
        <f t="shared" si="1"/>
        <v>0.15044512535172885</v>
      </c>
      <c r="D48" s="2">
        <f>tandem!C$8*tandem!C$4*LN((M$28-C48)/tandem!C$9+1)</f>
        <v>0.59214673202908363</v>
      </c>
      <c r="E48" s="2">
        <f>tandem!C$14*tandem!C$4*LN((M$29-C48)/tandem!C$15+1)</f>
        <v>0.71142063984617532</v>
      </c>
      <c r="F48" s="2">
        <f t="shared" si="4"/>
        <v>1.303567371875259</v>
      </c>
      <c r="G48" s="2">
        <f>A48*calc!M$30</f>
        <v>0.53673258517808919</v>
      </c>
      <c r="H48" s="2">
        <f>A48*calc!M$31</f>
        <v>0.64407910221347164</v>
      </c>
      <c r="I48" s="2">
        <f>tandem!C$10-tandem!C$9*(EXP(G48/tandem!C$8/tandem!C$4)-1)</f>
        <v>0.90000000004595515</v>
      </c>
      <c r="J48" s="2">
        <f>tandem!C$16-tandem!C$15*(EXP(H48/tandem!C$14/tandem!C$4)-1)</f>
        <v>0.93690426559961271</v>
      </c>
    </row>
    <row r="49" spans="1:10" x14ac:dyDescent="0.2">
      <c r="A49">
        <v>0.92</v>
      </c>
      <c r="B49">
        <f t="shared" si="3"/>
        <v>0.12162814915535169</v>
      </c>
      <c r="C49" s="2">
        <f t="shared" si="1"/>
        <v>0.12154746820270464</v>
      </c>
      <c r="D49" s="2">
        <f>tandem!C$8*tandem!C$4*LN((M$28-C49)/tandem!C$9+1)</f>
        <v>0.59301306987008628</v>
      </c>
      <c r="E49" s="2">
        <f>tandem!C$14*tandem!C$4*LN((M$29-C49)/tandem!C$15+1)</f>
        <v>0.71228697768717786</v>
      </c>
      <c r="F49" s="2">
        <f t="shared" si="4"/>
        <v>1.3053000475572643</v>
      </c>
      <c r="G49" s="2">
        <f>A49*calc!M$30</f>
        <v>0.54865997595982452</v>
      </c>
      <c r="H49" s="2">
        <f>A49*calc!M$31</f>
        <v>0.65839197115154879</v>
      </c>
      <c r="I49" s="2">
        <f>tandem!C$10-tandem!C$9*(EXP(G49/tandem!C$8/tandem!C$4)-1)</f>
        <v>0.84151068079702529</v>
      </c>
      <c r="J49" s="2">
        <f>tandem!C$16-tandem!C$15*(EXP(H49/tandem!C$14/tandem!C$4)-1)</f>
        <v>0.89035218043108688</v>
      </c>
    </row>
    <row r="50" spans="1:10" x14ac:dyDescent="0.2">
      <c r="A50">
        <v>0.94000000000000006</v>
      </c>
      <c r="B50">
        <f t="shared" si="3"/>
        <v>9.2127151383389227E-2</v>
      </c>
      <c r="C50" s="2">
        <f t="shared" si="1"/>
        <v>9.2066039655636325E-2</v>
      </c>
      <c r="D50" s="2">
        <f>tandem!C$8*tandem!C$4*LN((M$28-C50)/tandem!C$9+1)</f>
        <v>0.59386802296826313</v>
      </c>
      <c r="E50" s="2">
        <f>tandem!C$14*tandem!C$4*LN((M$29-C50)/tandem!C$15+1)</f>
        <v>0.71314193078535471</v>
      </c>
      <c r="F50" s="2">
        <f t="shared" si="4"/>
        <v>1.3070099537536177</v>
      </c>
      <c r="G50" s="2">
        <f>A50*calc!M$30</f>
        <v>0.56058736674155984</v>
      </c>
      <c r="H50" s="2">
        <f>A50*calc!M$31</f>
        <v>0.67270484008962594</v>
      </c>
      <c r="I50" s="2">
        <f>tandem!C$10-tandem!C$9*(EXP(G50/tandem!C$8/tandem!C$4)-1)</f>
        <v>0.74881135688761802</v>
      </c>
      <c r="J50" s="2">
        <f>tandem!C$16-tandem!C$15*(EXP(H50/tandem!C$14/tandem!C$4)-1)</f>
        <v>0.80945392824512929</v>
      </c>
    </row>
    <row r="51" spans="1:10" x14ac:dyDescent="0.2">
      <c r="A51">
        <v>0.96</v>
      </c>
      <c r="B51">
        <f t="shared" si="3"/>
        <v>6.2030193924306976E-2</v>
      </c>
      <c r="C51" s="2">
        <f t="shared" si="1"/>
        <v>6.1989046746014367E-2</v>
      </c>
      <c r="D51" s="2">
        <f>tandem!C$8*tandem!C$4*LN((M$28-C51)/tandem!C$9+1)</f>
        <v>0.59471210347930537</v>
      </c>
      <c r="E51" s="2">
        <f>tandem!C$14*tandem!C$4*LN((M$29-C51)/tandem!C$15+1)</f>
        <v>0.71398601129639694</v>
      </c>
      <c r="F51" s="2">
        <f t="shared" si="4"/>
        <v>1.3086981147757024</v>
      </c>
      <c r="G51" s="2">
        <f>A51*calc!M$30</f>
        <v>0.57251475752329506</v>
      </c>
      <c r="H51" s="2">
        <f>A51*calc!M$31</f>
        <v>0.68701770902770309</v>
      </c>
      <c r="I51" s="2">
        <f>tandem!C$10-tandem!C$9*(EXP(G51/tandem!C$8/tandem!C$4)-1)</f>
        <v>0.60189282947770351</v>
      </c>
      <c r="J51" s="2">
        <f>tandem!C$16-tandem!C$15*(EXP(H51/tandem!C$14/tandem!C$4)-1)</f>
        <v>0.66886887855185551</v>
      </c>
    </row>
    <row r="52" spans="1:10" x14ac:dyDescent="0.2">
      <c r="A52">
        <v>0.98</v>
      </c>
      <c r="B52">
        <f t="shared" si="3"/>
        <v>3.1325237593822997E-2</v>
      </c>
      <c r="C52" s="2">
        <f t="shared" si="1"/>
        <v>3.1304458275642821E-2</v>
      </c>
      <c r="D52" s="2">
        <f>tandem!C$8*tandem!C$4*LN((M$28-C52)/tandem!C$9+1)</f>
        <v>0.59554579179118516</v>
      </c>
      <c r="E52" s="2">
        <f>tandem!C$14*tandem!C$4*LN((M$29-C52)/tandem!C$15+1)</f>
        <v>0.71481969960827674</v>
      </c>
      <c r="F52" s="2">
        <f t="shared" si="4"/>
        <v>1.310365491399462</v>
      </c>
      <c r="G52" s="2">
        <f>A52*calc!M$30</f>
        <v>0.58444214830503038</v>
      </c>
      <c r="H52" s="2">
        <f>A52*calc!M$31</f>
        <v>0.70133057796578024</v>
      </c>
      <c r="I52" s="2">
        <f>tandem!C$10-tandem!C$9*(EXP(G52/tandem!C$8/tandem!C$4)-1)</f>
        <v>0.369042655539082</v>
      </c>
      <c r="J52" s="2">
        <f>tandem!C$16-tandem!C$15*(EXP(H52/tandem!C$14/tandem!C$4)-1)</f>
        <v>0.42456006268486413</v>
      </c>
    </row>
    <row r="53" spans="1:10" x14ac:dyDescent="0.2">
      <c r="A53">
        <v>1</v>
      </c>
      <c r="B53">
        <f t="shared" si="3"/>
        <v>0</v>
      </c>
      <c r="C53" s="2">
        <f t="shared" si="1"/>
        <v>0</v>
      </c>
      <c r="D53" s="2">
        <f>tandem!C$8*tandem!C$4*LN((M$28-C53)/tandem!C$9+1)</f>
        <v>0.59636953908676571</v>
      </c>
      <c r="E53" s="2">
        <f>tandem!C$14*tandem!C$4*LN((M$29-C53)/tandem!C$15+1)</f>
        <v>0.71564344690385739</v>
      </c>
      <c r="F53" s="2">
        <f t="shared" si="4"/>
        <v>1.3120129859906231</v>
      </c>
      <c r="G53" s="2">
        <f>A53*calc!M$30</f>
        <v>0.59636953908676571</v>
      </c>
      <c r="H53" s="2">
        <f>A53*calc!M$31</f>
        <v>0.71564344690385739</v>
      </c>
      <c r="I53" s="2">
        <f>tandem!C$10-tandem!C$9*(EXP(G53/tandem!C$8/tandem!C$4)-1)</f>
        <v>1.4432899320127035E-15</v>
      </c>
      <c r="J53" s="2">
        <f>tandem!C$16-tandem!C$15*(EXP(H53/tandem!C$14/tandem!C$4)-1)</f>
        <v>0</v>
      </c>
    </row>
    <row r="54" spans="1:10" x14ac:dyDescent="0.2">
      <c r="C54" s="5"/>
      <c r="D54" s="5"/>
      <c r="E54" s="5"/>
      <c r="F54" s="5"/>
      <c r="G54" s="5"/>
      <c r="H54" s="5"/>
    </row>
    <row r="55" spans="1:10" x14ac:dyDescent="0.2">
      <c r="C55" s="5"/>
      <c r="D55" s="5"/>
      <c r="E55" s="5"/>
      <c r="F55" s="5"/>
      <c r="G55" s="5"/>
      <c r="H55" s="5"/>
    </row>
    <row r="56" spans="1:10" x14ac:dyDescent="0.2">
      <c r="C56" s="5"/>
      <c r="D56" s="5"/>
      <c r="E56" s="5"/>
      <c r="F56" s="5"/>
      <c r="G56" s="5"/>
      <c r="H56" s="5"/>
    </row>
    <row r="57" spans="1:10" x14ac:dyDescent="0.2">
      <c r="C57" s="5"/>
      <c r="D57" s="5"/>
      <c r="E57" s="5"/>
      <c r="F57" s="5"/>
      <c r="G57" s="5"/>
      <c r="H57" s="5"/>
    </row>
    <row r="58" spans="1:10" x14ac:dyDescent="0.2">
      <c r="C58" s="5"/>
      <c r="D58" s="5"/>
      <c r="E58" s="5"/>
      <c r="F58" s="5"/>
      <c r="G58" s="5"/>
      <c r="H58" s="5"/>
    </row>
    <row r="59" spans="1:10" x14ac:dyDescent="0.2">
      <c r="C59" s="5"/>
      <c r="D59" s="5"/>
      <c r="E59" s="5"/>
      <c r="F59" s="5"/>
      <c r="G59" s="5"/>
      <c r="H59" s="5"/>
    </row>
    <row r="60" spans="1:10" x14ac:dyDescent="0.2">
      <c r="C60" s="5"/>
      <c r="D60" s="5"/>
      <c r="E60" s="5"/>
      <c r="F60" s="5"/>
      <c r="G60" s="5"/>
      <c r="H60" s="5"/>
    </row>
    <row r="61" spans="1:10" x14ac:dyDescent="0.2">
      <c r="C61" s="5"/>
      <c r="D61" s="5"/>
      <c r="E61" s="5"/>
      <c r="F61" s="5"/>
      <c r="G61" s="5"/>
      <c r="H61" s="5"/>
    </row>
    <row r="62" spans="1:10" x14ac:dyDescent="0.2">
      <c r="C62" s="5"/>
      <c r="D62" s="5"/>
      <c r="E62" s="5"/>
      <c r="F62" s="5"/>
      <c r="G62" s="5"/>
      <c r="H62" s="5"/>
    </row>
    <row r="63" spans="1:10" x14ac:dyDescent="0.2">
      <c r="C63" s="5"/>
      <c r="D63" s="5"/>
      <c r="E63" s="5"/>
      <c r="F63" s="5"/>
      <c r="G63" s="5"/>
      <c r="H63" s="5"/>
    </row>
    <row r="64" spans="1:10" x14ac:dyDescent="0.2">
      <c r="C64" s="5"/>
      <c r="D64" s="5"/>
      <c r="E64" s="5"/>
      <c r="F64" s="5"/>
      <c r="G64" s="5"/>
      <c r="H64" s="5"/>
    </row>
    <row r="65" spans="3:8" x14ac:dyDescent="0.2">
      <c r="C65" s="5"/>
      <c r="D65" s="5"/>
      <c r="E65" s="5"/>
      <c r="F65" s="5"/>
      <c r="G65" s="5"/>
      <c r="H65" s="5"/>
    </row>
    <row r="66" spans="3:8" x14ac:dyDescent="0.2">
      <c r="C66" s="5"/>
      <c r="D66" s="5"/>
      <c r="E66" s="5"/>
      <c r="F66" s="5"/>
      <c r="G66" s="5"/>
      <c r="H66" s="5"/>
    </row>
    <row r="67" spans="3:8" x14ac:dyDescent="0.2">
      <c r="C67" s="5"/>
      <c r="D67" s="5"/>
      <c r="E67" s="5"/>
      <c r="F67" s="5"/>
      <c r="G67" s="5"/>
      <c r="H67" s="5"/>
    </row>
    <row r="68" spans="3:8" x14ac:dyDescent="0.2">
      <c r="C68" s="5"/>
      <c r="D68" s="5"/>
      <c r="E68" s="5"/>
      <c r="F68" s="5"/>
      <c r="G68" s="5"/>
      <c r="H68" s="5"/>
    </row>
    <row r="69" spans="3:8" x14ac:dyDescent="0.2">
      <c r="C69" s="5"/>
      <c r="D69" s="5"/>
      <c r="E69" s="5"/>
      <c r="F69" s="5"/>
      <c r="G69" s="5"/>
      <c r="H69" s="5"/>
    </row>
    <row r="70" spans="3:8" x14ac:dyDescent="0.2">
      <c r="C70" s="5"/>
      <c r="D70" s="5"/>
      <c r="E70" s="5"/>
      <c r="F70" s="5"/>
      <c r="G70" s="5"/>
      <c r="H70" s="5"/>
    </row>
    <row r="71" spans="3:8" x14ac:dyDescent="0.2">
      <c r="C71" s="5"/>
      <c r="D71" s="5"/>
      <c r="E71" s="5"/>
      <c r="F71" s="5"/>
      <c r="G71" s="5"/>
      <c r="H71" s="5"/>
    </row>
    <row r="72" spans="3:8" x14ac:dyDescent="0.2">
      <c r="C72" s="5"/>
      <c r="D72" s="5"/>
      <c r="E72" s="5"/>
      <c r="F72" s="5"/>
      <c r="G72" s="5"/>
      <c r="H72" s="5"/>
    </row>
    <row r="73" spans="3:8" x14ac:dyDescent="0.2">
      <c r="C73" s="5"/>
      <c r="D73" s="5"/>
      <c r="E73" s="5"/>
      <c r="F73" s="5"/>
      <c r="G73" s="5"/>
      <c r="H73" s="5"/>
    </row>
    <row r="74" spans="3:8" x14ac:dyDescent="0.2">
      <c r="C74" s="5"/>
      <c r="D74" s="5"/>
      <c r="E74" s="5"/>
      <c r="F74" s="5"/>
      <c r="G74" s="5"/>
      <c r="H74" s="5"/>
    </row>
    <row r="75" spans="3:8" x14ac:dyDescent="0.2">
      <c r="C75" s="5"/>
      <c r="D75" s="5"/>
      <c r="E75" s="5"/>
      <c r="F75" s="5"/>
      <c r="G75" s="5"/>
      <c r="H75" s="5"/>
    </row>
    <row r="76" spans="3:8" x14ac:dyDescent="0.2">
      <c r="C76" s="5"/>
      <c r="D76" s="5"/>
      <c r="E76" s="5"/>
      <c r="F76" s="5"/>
      <c r="G76" s="5"/>
      <c r="H76" s="5"/>
    </row>
    <row r="77" spans="3:8" x14ac:dyDescent="0.2">
      <c r="C77" s="5"/>
      <c r="D77" s="5"/>
      <c r="E77" s="5"/>
      <c r="F77" s="5"/>
      <c r="G77" s="5"/>
      <c r="H77" s="5"/>
    </row>
    <row r="78" spans="3:8" x14ac:dyDescent="0.2">
      <c r="C78" s="5"/>
      <c r="D78" s="5"/>
      <c r="E78" s="5"/>
      <c r="F78" s="5"/>
      <c r="G78" s="5"/>
      <c r="H78" s="5"/>
    </row>
    <row r="79" spans="3:8" x14ac:dyDescent="0.2">
      <c r="C79" s="5"/>
      <c r="D79" s="5"/>
      <c r="E79" s="5"/>
      <c r="F79" s="5"/>
      <c r="G79" s="5"/>
      <c r="H79" s="5"/>
    </row>
    <row r="80" spans="3:8" x14ac:dyDescent="0.2">
      <c r="C80" s="5"/>
      <c r="D80" s="5"/>
      <c r="E80" s="5"/>
      <c r="F80" s="5"/>
      <c r="G80" s="5"/>
      <c r="H80" s="5"/>
    </row>
    <row r="81" spans="3:8" x14ac:dyDescent="0.2">
      <c r="C81" s="5"/>
      <c r="D81" s="5"/>
      <c r="E81" s="5"/>
      <c r="F81" s="5"/>
      <c r="G81" s="5"/>
      <c r="H81" s="5"/>
    </row>
    <row r="82" spans="3:8" x14ac:dyDescent="0.2">
      <c r="C82" s="5"/>
      <c r="D82" s="5"/>
      <c r="E82" s="5"/>
      <c r="F82" s="5"/>
      <c r="G82" s="5"/>
      <c r="H82" s="5"/>
    </row>
    <row r="83" spans="3:8" x14ac:dyDescent="0.2">
      <c r="C83" s="5"/>
      <c r="D83" s="5"/>
      <c r="E83" s="5"/>
      <c r="F83" s="5"/>
      <c r="G83" s="5"/>
      <c r="H83" s="5"/>
    </row>
    <row r="84" spans="3:8" x14ac:dyDescent="0.2">
      <c r="C84" s="5"/>
      <c r="D84" s="5"/>
      <c r="E84" s="5"/>
      <c r="F84" s="5"/>
      <c r="G84" s="5"/>
      <c r="H84" s="5"/>
    </row>
    <row r="85" spans="3:8" x14ac:dyDescent="0.2">
      <c r="C85" s="5"/>
      <c r="D85" s="5"/>
      <c r="E85" s="5"/>
      <c r="F85" s="5"/>
      <c r="G85" s="5"/>
      <c r="H85" s="5"/>
    </row>
    <row r="86" spans="3:8" x14ac:dyDescent="0.2">
      <c r="C86" s="5"/>
      <c r="D86" s="5"/>
      <c r="E86" s="5"/>
      <c r="F86" s="5"/>
      <c r="G86" s="5"/>
      <c r="H86" s="5"/>
    </row>
    <row r="87" spans="3:8" x14ac:dyDescent="0.2">
      <c r="C87" s="5"/>
      <c r="D87" s="5"/>
      <c r="E87" s="5"/>
      <c r="F87" s="5"/>
      <c r="G87" s="5"/>
      <c r="H87" s="5"/>
    </row>
    <row r="88" spans="3:8" x14ac:dyDescent="0.2">
      <c r="C88" s="5"/>
      <c r="D88" s="5"/>
      <c r="E88" s="5"/>
      <c r="F88" s="5"/>
      <c r="G88" s="5"/>
      <c r="H88" s="5"/>
    </row>
    <row r="89" spans="3:8" x14ac:dyDescent="0.2">
      <c r="C89" s="5"/>
      <c r="D89" s="5"/>
      <c r="E89" s="5"/>
      <c r="F89" s="5"/>
      <c r="G89" s="5"/>
      <c r="H89" s="5"/>
    </row>
    <row r="90" spans="3:8" x14ac:dyDescent="0.2">
      <c r="C90" s="5"/>
      <c r="D90" s="5"/>
      <c r="E90" s="5"/>
      <c r="F90" s="5"/>
      <c r="G90" s="5"/>
      <c r="H90" s="5"/>
    </row>
    <row r="91" spans="3:8" x14ac:dyDescent="0.2">
      <c r="C91" s="5"/>
      <c r="D91" s="5"/>
      <c r="E91" s="5"/>
      <c r="F91" s="5"/>
      <c r="G91" s="5"/>
      <c r="H91" s="5"/>
    </row>
    <row r="92" spans="3:8" x14ac:dyDescent="0.2">
      <c r="C92" s="5"/>
      <c r="D92" s="5"/>
      <c r="E92" s="5"/>
      <c r="F92" s="5"/>
      <c r="G92" s="5"/>
      <c r="H92" s="5"/>
    </row>
    <row r="93" spans="3:8" x14ac:dyDescent="0.2">
      <c r="C93" s="5"/>
      <c r="D93" s="5"/>
      <c r="E93" s="5"/>
      <c r="F93" s="5"/>
      <c r="G93" s="5"/>
      <c r="H93" s="5"/>
    </row>
    <row r="94" spans="3:8" x14ac:dyDescent="0.2">
      <c r="C94" s="5"/>
      <c r="D94" s="5"/>
      <c r="E94" s="5"/>
      <c r="F94" s="5"/>
      <c r="G94" s="5"/>
      <c r="H94" s="5"/>
    </row>
    <row r="95" spans="3:8" x14ac:dyDescent="0.2">
      <c r="C95" s="5"/>
      <c r="D95" s="5"/>
      <c r="E95" s="5"/>
      <c r="F95" s="5"/>
      <c r="G95" s="5"/>
      <c r="H95" s="5"/>
    </row>
    <row r="96" spans="3:8" x14ac:dyDescent="0.2">
      <c r="C96" s="5"/>
      <c r="D96" s="5"/>
      <c r="E96" s="5"/>
      <c r="F96" s="5"/>
      <c r="G96" s="5"/>
      <c r="H96" s="5"/>
    </row>
    <row r="97" spans="3:8" x14ac:dyDescent="0.2">
      <c r="C97" s="5"/>
      <c r="D97" s="5"/>
      <c r="E97" s="5"/>
      <c r="F97" s="5"/>
      <c r="G97" s="5"/>
      <c r="H97" s="5"/>
    </row>
    <row r="98" spans="3:8" x14ac:dyDescent="0.2">
      <c r="C98" s="5"/>
      <c r="D98" s="5"/>
      <c r="E98" s="5"/>
      <c r="F98" s="5"/>
      <c r="G98" s="5"/>
      <c r="H98" s="5"/>
    </row>
    <row r="99" spans="3:8" x14ac:dyDescent="0.2">
      <c r="C99" s="5"/>
      <c r="D99" s="5"/>
      <c r="E99" s="5"/>
      <c r="F99" s="5"/>
      <c r="G99" s="5"/>
      <c r="H99" s="5"/>
    </row>
    <row r="100" spans="3:8" x14ac:dyDescent="0.2">
      <c r="C100" s="5"/>
      <c r="D100" s="5"/>
      <c r="E100" s="5"/>
      <c r="F100" s="5"/>
      <c r="G100" s="5"/>
      <c r="H100" s="5"/>
    </row>
    <row r="101" spans="3:8" x14ac:dyDescent="0.2">
      <c r="C101" s="5"/>
      <c r="D101" s="5"/>
      <c r="E101" s="5"/>
      <c r="F101" s="5"/>
      <c r="G101" s="5"/>
      <c r="H101" s="5"/>
    </row>
    <row r="102" spans="3:8" x14ac:dyDescent="0.2">
      <c r="C102" s="5"/>
      <c r="D102" s="5"/>
      <c r="E102" s="5"/>
      <c r="F102" s="5"/>
      <c r="G102" s="5"/>
      <c r="H102" s="5"/>
    </row>
    <row r="103" spans="3:8" x14ac:dyDescent="0.2">
      <c r="C103" s="5"/>
      <c r="D103" s="5"/>
      <c r="E103" s="5"/>
      <c r="F103" s="5"/>
      <c r="G103" s="5"/>
      <c r="H103" s="5"/>
    </row>
    <row r="104" spans="3:8" x14ac:dyDescent="0.2">
      <c r="C104" s="1"/>
      <c r="D104" s="1"/>
      <c r="E104" s="1"/>
    </row>
    <row r="105" spans="3:8" x14ac:dyDescent="0.2">
      <c r="C105" s="1"/>
      <c r="D105" s="1"/>
      <c r="E105" s="1"/>
    </row>
    <row r="106" spans="3:8" x14ac:dyDescent="0.2">
      <c r="C106" s="1"/>
      <c r="D106" s="1"/>
      <c r="E106" s="1"/>
    </row>
    <row r="107" spans="3:8" x14ac:dyDescent="0.2">
      <c r="C107" s="1"/>
      <c r="D107" s="1"/>
      <c r="E107" s="1"/>
    </row>
    <row r="108" spans="3:8" x14ac:dyDescent="0.2">
      <c r="C108" s="1"/>
      <c r="D108" s="1"/>
      <c r="E108" s="1"/>
    </row>
    <row r="109" spans="3:8" x14ac:dyDescent="0.2">
      <c r="C109" s="1"/>
      <c r="D109" s="1"/>
      <c r="E109" s="1"/>
    </row>
    <row r="110" spans="3:8" x14ac:dyDescent="0.2">
      <c r="C110" s="1"/>
      <c r="D110" s="1"/>
      <c r="E110" s="1"/>
    </row>
    <row r="111" spans="3:8" x14ac:dyDescent="0.2">
      <c r="C111" s="1"/>
      <c r="D111" s="1"/>
      <c r="E11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37</vt:i4>
      </vt:variant>
    </vt:vector>
  </HeadingPairs>
  <TitlesOfParts>
    <vt:vector size="39" baseType="lpstr">
      <vt:lpstr>tandem</vt:lpstr>
      <vt:lpstr>calc</vt:lpstr>
      <vt:lpstr>A1_coef</vt:lpstr>
      <vt:lpstr>A2_coef</vt:lpstr>
      <vt:lpstr>B_coef</vt:lpstr>
      <vt:lpstr>confirm_each</vt:lpstr>
      <vt:lpstr>dP_dIm</vt:lpstr>
      <vt:lpstr>f</vt:lpstr>
      <vt:lpstr>f_calc</vt:lpstr>
      <vt:lpstr>f_in</vt:lpstr>
      <vt:lpstr>I0_1_mA</vt:lpstr>
      <vt:lpstr>I0_2_mA</vt:lpstr>
      <vt:lpstr>I1m_mA</vt:lpstr>
      <vt:lpstr>I2m_mA</vt:lpstr>
      <vt:lpstr>Ierror</vt:lpstr>
      <vt:lpstr>Im_mA</vt:lpstr>
      <vt:lpstr>Ip_1_mA</vt:lpstr>
      <vt:lpstr>Ip_2_mA</vt:lpstr>
      <vt:lpstr>Ip_mA</vt:lpstr>
      <vt:lpstr>Isc_mA</vt:lpstr>
      <vt:lpstr>kT_eV</vt:lpstr>
      <vt:lpstr>n_1</vt:lpstr>
      <vt:lpstr>n_2</vt:lpstr>
      <vt:lpstr>opt_f</vt:lpstr>
      <vt:lpstr>P1_mW</vt:lpstr>
      <vt:lpstr>P1m_mW</vt:lpstr>
      <vt:lpstr>P2m_mW</vt:lpstr>
      <vt:lpstr>Pm_mW</vt:lpstr>
      <vt:lpstr>r_1</vt:lpstr>
      <vt:lpstr>r_2</vt:lpstr>
      <vt:lpstr>SolveState</vt:lpstr>
      <vt:lpstr>u</vt:lpstr>
      <vt:lpstr>V1_V</vt:lpstr>
      <vt:lpstr>V1m_V</vt:lpstr>
      <vt:lpstr>V1oc_V</vt:lpstr>
      <vt:lpstr>V2_V</vt:lpstr>
      <vt:lpstr>V2m_V</vt:lpstr>
      <vt:lpstr>V2oc_V</vt:lpstr>
      <vt:lpstr>Voc_V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2024-03-14T17:59:30Z</dcterms:created>
  <dcterms:modified xsi:type="dcterms:W3CDTF">2024-04-07T21:30:48Z</dcterms:modified>
</cp:coreProperties>
</file>